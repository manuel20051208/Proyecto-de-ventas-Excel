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anue\OneDrive\Desktop\"/>
    </mc:Choice>
  </mc:AlternateContent>
  <xr:revisionPtr revIDLastSave="0" documentId="13_ncr:1_{762A229C-4CB8-4F3B-9012-5836C8154BAD}" xr6:coauthVersionLast="47" xr6:coauthVersionMax="47" xr10:uidLastSave="{00000000-0000-0000-0000-000000000000}"/>
  <bookViews>
    <workbookView xWindow="-108" yWindow="-108" windowWidth="23256" windowHeight="12456" activeTab="3" xr2:uid="{F37C84F7-05B3-4F48-BA7E-7CFDA21A203D}"/>
  </bookViews>
  <sheets>
    <sheet name="Registro de ventas" sheetId="1" r:id="rId1"/>
    <sheet name="Asistencia de empleados" sheetId="16" r:id="rId2"/>
    <sheet name="Registro de productos" sheetId="11" r:id="rId3"/>
    <sheet name="Dashboard" sheetId="17" r:id="rId4"/>
  </sheets>
  <definedNames>
    <definedName name="_xlnm._FilterDatabase" localSheetId="0" hidden="1">'Registro de ventas'!$A$203:$D$210</definedName>
    <definedName name="_xleta.COUNT" hidden="1" xlm="1">#NAME?</definedName>
    <definedName name="_xleta.COUNTA" hidden="1" xlm="1">#NAME?</definedName>
    <definedName name="_xleta.COUNTIF" hidden="1" xlm="1">#NAME?</definedName>
    <definedName name="_xleta.COUNTIFS" hidden="1" xlm="1">#NAME?</definedName>
    <definedName name="_xleta.FIELDVALUE" hidden="1" xlm="1">#NAME?</definedName>
    <definedName name="_xleta.FILTER" hidden="1" xlm="1">#NAME?</definedName>
    <definedName name="_xleta.IF" hidden="1" xlm="1">#NAME?</definedName>
    <definedName name="_xleta.IFERROR" hidden="1" xlm="1">#NAME?</definedName>
    <definedName name="_xleta.INDEX" hidden="1" xlm="1">#NAME?</definedName>
    <definedName name="_xleta.ISNA" hidden="1" xlm="1">#NAME?</definedName>
    <definedName name="_xleta.MATCH" hidden="1" xlm="1">#NAME?</definedName>
    <definedName name="_xleta.MAX" hidden="1" xlm="1">#NAME?</definedName>
    <definedName name="_xleta.MIN" hidden="1" xlm="1">#NAME?</definedName>
    <definedName name="_xleta.OFFSET" hidden="1" xlm="1">#NAME?</definedName>
    <definedName name="_xleta.OR" hidden="1" xlm="1">#NAME?</definedName>
    <definedName name="_xleta.PHI" hidden="1" xlm="1">#NAME?</definedName>
    <definedName name="_xleta.PRICE" hidden="1" xlm="1">#NAME?</definedName>
    <definedName name="_xleta.PRODUCT" hidden="1" xlm="1">#NAME?</definedName>
    <definedName name="_xleta.SUM" hidden="1" xlm="1">#NAME?</definedName>
    <definedName name="_xleta.SUMIF" hidden="1" xlm="1">#NAME?</definedName>
    <definedName name="_xleta.T" hidden="1" xlm="1">#NAME?</definedName>
    <definedName name="_xleta.TODAY" hidden="1" xlm="1">#NAME?</definedName>
    <definedName name="_xleta.UNIQUE" hidden="1" xlm="1">#NAME?</definedName>
    <definedName name="_xleta.VALUE" hidden="1" xlm="1">#NAME?</definedName>
    <definedName name="_xleta.VLOOKUP" hidden="1" xlm="1">#NAME?</definedName>
    <definedName name="_xleta.XLOOKUP" hidden="1" xlm="1">#NAME?</definedName>
    <definedName name="Agotado">'Registro de ventas'!$M$8</definedName>
    <definedName name="comprobar">((#REF!)=(OFFSET(#REF!,0,0,COUNTA(#REF!),1)))</definedName>
    <definedName name="comprobarVenta">Agotado&lt;&gt;listasProductos</definedName>
    <definedName name="EmpleadosAsistieron">#REF!</definedName>
    <definedName name="listaEmpleados">Tabla8[[#All],[Nombres]]</definedName>
    <definedName name="ListasID">#REF!=#REF!</definedName>
    <definedName name="listasProductos">OFFSET(tablaProducto[Producto],0,0,COUNTA(tablaProducto[Producto]),1)</definedName>
    <definedName name="Nombre_de_empleado">_xlfn._xlws.FILTER(#REF!,#REF!&lt;&gt;0)</definedName>
    <definedName name="precioMayorUltimo">'Registro de productos'!$F$6</definedName>
    <definedName name="PrecioUnitario">'Registro de productos'!$F$6</definedName>
    <definedName name="ProductosListas">tablaProducto[Producto]</definedName>
    <definedName name="SegmentaciónDeDatos_Empleado">#N/A</definedName>
    <definedName name="SegmentaciónDeDatos_Producto_vendido">#N/A</definedName>
  </definedNames>
  <calcPr calcId="191029"/>
  <pivotCaches>
    <pivotCache cacheId="72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1" l="1"/>
  <c r="E4" i="11"/>
  <c r="E5" i="11"/>
  <c r="E6" i="11"/>
  <c r="E7" i="11"/>
  <c r="M21" i="17"/>
  <c r="D21" i="17"/>
  <c r="B21" i="17"/>
  <c r="B15" i="17"/>
  <c r="B13" i="17"/>
  <c r="D15" i="17"/>
  <c r="D13" i="17"/>
  <c r="L11" i="1"/>
  <c r="V9" i="16" a="1"/>
  <c r="V9" i="16" s="1"/>
  <c r="L8" i="1" a="1"/>
  <c r="L8" i="1" s="1"/>
  <c r="L9" i="1" s="1"/>
  <c r="L5" i="1"/>
  <c r="C4" i="11"/>
  <c r="V8" i="16" a="1"/>
  <c r="V8" i="16" s="1"/>
  <c r="C5" i="11"/>
  <c r="C6" i="11"/>
  <c r="C7" i="11"/>
  <c r="H6" i="11"/>
  <c r="J11" i="1"/>
  <c r="M7" i="1" l="1"/>
  <c r="M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<sst xmlns="http://schemas.openxmlformats.org/spreadsheetml/2006/main" count="100" uniqueCount="47">
  <si>
    <t>Empleado</t>
  </si>
  <si>
    <t>Producto</t>
  </si>
  <si>
    <t>Precio</t>
  </si>
  <si>
    <t>ENTRADA DE INFORMACION</t>
  </si>
  <si>
    <t>Numero de ventas</t>
  </si>
  <si>
    <t>Fecha de venta</t>
  </si>
  <si>
    <t>Producto vendido</t>
  </si>
  <si>
    <t>AGREGAR PRODUCTO</t>
  </si>
  <si>
    <t>Precio unitario</t>
  </si>
  <si>
    <t>AGREGAR VENTA</t>
  </si>
  <si>
    <t>Total de venta</t>
  </si>
  <si>
    <t>Cliente(Opcional)</t>
  </si>
  <si>
    <t>Cantidad</t>
  </si>
  <si>
    <t>Fecha</t>
  </si>
  <si>
    <t># de ventas</t>
  </si>
  <si>
    <t>Compra total</t>
  </si>
  <si>
    <t>Cantidad inicial</t>
  </si>
  <si>
    <t>Cantidad restante</t>
  </si>
  <si>
    <t>Mesa</t>
  </si>
  <si>
    <t>TRANSFERENCIA</t>
  </si>
  <si>
    <t>EFECTIVO</t>
  </si>
  <si>
    <t>NO ESPECIFICADO</t>
  </si>
  <si>
    <t>Suma de Total de venta</t>
  </si>
  <si>
    <t>PRODUCTOS AGREGADOS</t>
  </si>
  <si>
    <t>ULTIMO VALOR</t>
  </si>
  <si>
    <t>M</t>
  </si>
  <si>
    <t>V</t>
  </si>
  <si>
    <t>L</t>
  </si>
  <si>
    <t>J</t>
  </si>
  <si>
    <t>SEMANA 1</t>
  </si>
  <si>
    <t>SEMANA 2</t>
  </si>
  <si>
    <t>SEMANA 3</t>
  </si>
  <si>
    <t>SEMANA 4</t>
  </si>
  <si>
    <t>NOMBRE</t>
  </si>
  <si>
    <t>TOTAL ASISTENCIA</t>
  </si>
  <si>
    <t>Moto</t>
  </si>
  <si>
    <t>Manuel Ramos Romero</t>
  </si>
  <si>
    <t>Bicicleta</t>
  </si>
  <si>
    <t>Reloj</t>
  </si>
  <si>
    <t>Sandra Ramos Romero</t>
  </si>
  <si>
    <t>Etiquetas de fila</t>
  </si>
  <si>
    <t>Productos vendidos</t>
  </si>
  <si>
    <t xml:space="preserve"> </t>
  </si>
  <si>
    <t>VENDEDOR QUE GENERO MAS INGRESOS</t>
  </si>
  <si>
    <t>Total # de ventas</t>
  </si>
  <si>
    <t xml:space="preserve"> Total de vendido</t>
  </si>
  <si>
    <t>Total ingresos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</si>
</sst>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5" formatCode="&quot;$&quot;\ #,##0;\-&quot;$&quot;\ #,##0"/>
    <numFmt numFmtId="6" formatCode="&quot;$&quot;\ #,##0;[Red]\-&quot;$&quot;\ #,##0"/>
    <numFmt numFmtId="44" formatCode="_-&quot;$&quot;\ * #,##0.00_-;\-&quot;$&quot;\ * #,##0.00_-;_-&quot;$&quot;\ * &quot;-&quot;??_-;_-@_-"/>
    <numFmt numFmtId="164" formatCode="_-[$$-240A]\ * #,##0.00_-;\-[$$-240A]\ * #,##0.00_-;_-[$$-240A]\ * &quot;-&quot;??_-;_-@_-"/>
  </numFmts>
  <fonts count="27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2"/>
      <name val="Aptos Narrow"/>
      <family val="2"/>
      <scheme val="minor"/>
    </font>
    <font>
      <u/>
      <sz val="11"/>
      <color theme="0"/>
      <name val="Aptos Narrow"/>
      <family val="2"/>
      <scheme val="minor"/>
    </font>
    <font>
      <b/>
      <i/>
      <u/>
      <sz val="18"/>
      <color theme="1"/>
      <name val="Arial"/>
      <family val="2"/>
    </font>
    <font>
      <b/>
      <i/>
      <u/>
      <sz val="14"/>
      <color theme="1"/>
      <name val="Aptos Narrow"/>
      <family val="2"/>
      <scheme val="minor"/>
    </font>
    <font>
      <b/>
      <i/>
      <u/>
      <sz val="12"/>
      <color theme="1"/>
      <name val="AraI"/>
    </font>
    <font>
      <sz val="11"/>
      <name val="Aptos Narrow"/>
      <family val="2"/>
      <scheme val="minor"/>
    </font>
    <font>
      <b/>
      <i/>
      <sz val="18"/>
      <color theme="9" tint="-0.499984740745262"/>
      <name val="Aptos Narrow"/>
      <family val="2"/>
      <scheme val="minor"/>
    </font>
    <font>
      <b/>
      <i/>
      <sz val="18"/>
      <color rgb="FFFF0000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i/>
      <sz val="16"/>
      <color theme="6" tint="-0.249977111117893"/>
      <name val="Aptos Narrow"/>
      <family val="2"/>
      <scheme val="minor"/>
    </font>
    <font>
      <b/>
      <sz val="26"/>
      <color rgb="FF002060"/>
      <name val="Aptos Narrow"/>
      <family val="2"/>
      <scheme val="minor"/>
    </font>
    <font>
      <b/>
      <i/>
      <sz val="20"/>
      <color theme="6" tint="-0.249977111117893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249977111117893"/>
        <bgColor theme="1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9" fillId="0" borderId="0" xfId="0" applyFont="1"/>
    <xf numFmtId="0" fontId="1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6" fillId="0" borderId="0" xfId="0" applyFont="1"/>
    <xf numFmtId="0" fontId="1" fillId="0" borderId="0" xfId="0" applyFont="1" applyAlignment="1" applyProtection="1">
      <alignment horizontal="right" vertical="center"/>
      <protection locked="0"/>
    </xf>
    <xf numFmtId="14" fontId="1" fillId="0" borderId="0" xfId="0" applyNumberFormat="1" applyFont="1" applyAlignment="1" applyProtection="1">
      <alignment horizontal="right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>
      <alignment horizontal="right" vertical="center"/>
    </xf>
    <xf numFmtId="14" fontId="1" fillId="0" borderId="0" xfId="0" applyNumberFormat="1" applyFont="1" applyAlignment="1">
      <alignment horizontal="right" vertical="center"/>
    </xf>
    <xf numFmtId="0" fontId="12" fillId="0" borderId="0" xfId="0" applyFont="1"/>
    <xf numFmtId="0" fontId="5" fillId="0" borderId="0" xfId="0" applyFont="1" applyAlignment="1">
      <alignment horizontal="right"/>
    </xf>
    <xf numFmtId="0" fontId="4" fillId="0" borderId="0" xfId="0" applyFont="1"/>
    <xf numFmtId="11" fontId="1" fillId="0" borderId="0" xfId="0" applyNumberFormat="1" applyFont="1" applyAlignment="1">
      <alignment horizontal="right"/>
    </xf>
    <xf numFmtId="0" fontId="11" fillId="0" borderId="1" xfId="0" applyFont="1" applyBorder="1" applyAlignment="1">
      <alignment horizontal="center" vertical="center"/>
    </xf>
    <xf numFmtId="6" fontId="11" fillId="0" borderId="1" xfId="0" applyNumberFormat="1" applyFont="1" applyBorder="1" applyAlignment="1">
      <alignment horizontal="right" vertical="center"/>
    </xf>
    <xf numFmtId="14" fontId="11" fillId="0" borderId="1" xfId="0" applyNumberFormat="1" applyFont="1" applyBorder="1"/>
    <xf numFmtId="22" fontId="4" fillId="0" borderId="0" xfId="0" applyNumberFormat="1" applyFont="1"/>
    <xf numFmtId="0" fontId="5" fillId="3" borderId="2" xfId="0" applyFont="1" applyFill="1" applyBorder="1" applyAlignment="1">
      <alignment horizontal="center" vertical="center"/>
    </xf>
    <xf numFmtId="0" fontId="4" fillId="2" borderId="0" xfId="0" applyFont="1" applyFill="1"/>
    <xf numFmtId="0" fontId="14" fillId="3" borderId="1" xfId="0" applyFont="1" applyFill="1" applyBorder="1" applyAlignment="1">
      <alignment vertical="center"/>
    </xf>
    <xf numFmtId="14" fontId="14" fillId="3" borderId="1" xfId="0" applyNumberFormat="1" applyFont="1" applyFill="1" applyBorder="1" applyAlignment="1">
      <alignment vertical="center"/>
    </xf>
    <xf numFmtId="5" fontId="4" fillId="0" borderId="0" xfId="0" applyNumberFormat="1" applyFont="1" applyAlignment="1">
      <alignment horizontal="right"/>
    </xf>
    <xf numFmtId="5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5" fillId="0" borderId="0" xfId="0" applyFont="1"/>
    <xf numFmtId="0" fontId="5" fillId="5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right" vertical="center"/>
    </xf>
    <xf numFmtId="6" fontId="8" fillId="2" borderId="1" xfId="0" applyNumberFormat="1" applyFont="1" applyFill="1" applyBorder="1" applyAlignment="1">
      <alignment horizontal="right" vertical="center"/>
    </xf>
    <xf numFmtId="22" fontId="11" fillId="0" borderId="1" xfId="0" applyNumberFormat="1" applyFont="1" applyBorder="1"/>
    <xf numFmtId="0" fontId="5" fillId="4" borderId="2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/>
    </xf>
    <xf numFmtId="0" fontId="0" fillId="0" borderId="1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Protection="1">
      <protection locked="0"/>
    </xf>
    <xf numFmtId="0" fontId="11" fillId="0" borderId="1" xfId="0" applyFont="1" applyBorder="1" applyProtection="1">
      <protection locked="0"/>
    </xf>
    <xf numFmtId="0" fontId="11" fillId="0" borderId="2" xfId="0" applyFont="1" applyBorder="1" applyAlignment="1">
      <alignment horizontal="center" vertical="center"/>
    </xf>
    <xf numFmtId="6" fontId="11" fillId="0" borderId="2" xfId="0" applyNumberFormat="1" applyFont="1" applyBorder="1" applyAlignment="1">
      <alignment horizontal="right" vertical="center"/>
    </xf>
    <xf numFmtId="14" fontId="11" fillId="0" borderId="2" xfId="0" applyNumberFormat="1" applyFont="1" applyBorder="1"/>
    <xf numFmtId="9" fontId="11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164" fontId="2" fillId="0" borderId="0" xfId="1" applyNumberFormat="1" applyFont="1" applyFill="1" applyAlignment="1" applyProtection="1">
      <alignment horizontal="right"/>
      <protection locked="0"/>
    </xf>
    <xf numFmtId="0" fontId="5" fillId="3" borderId="4" xfId="0" applyFont="1" applyFill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6" fontId="2" fillId="2" borderId="1" xfId="0" applyNumberFormat="1" applyFont="1" applyFill="1" applyBorder="1" applyAlignment="1">
      <alignment horizontal="right" vertical="center"/>
    </xf>
    <xf numFmtId="14" fontId="5" fillId="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6" xfId="0" applyFont="1" applyBorder="1" applyProtection="1">
      <protection locked="0"/>
    </xf>
    <xf numFmtId="0" fontId="0" fillId="0" borderId="3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9" fontId="11" fillId="0" borderId="5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2" borderId="0" xfId="0" applyFont="1" applyFill="1"/>
    <xf numFmtId="0" fontId="4" fillId="3" borderId="1" xfId="0" applyFont="1" applyFill="1" applyBorder="1"/>
    <xf numFmtId="0" fontId="1" fillId="0" borderId="0" xfId="0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right"/>
      <protection hidden="1"/>
    </xf>
    <xf numFmtId="0" fontId="2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right"/>
      <protection hidden="1"/>
    </xf>
    <xf numFmtId="14" fontId="2" fillId="2" borderId="0" xfId="0" applyNumberFormat="1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6" fontId="2" fillId="2" borderId="0" xfId="0" applyNumberFormat="1" applyFont="1" applyFill="1" applyAlignment="1" applyProtection="1">
      <alignment horizontal="right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5" fontId="2" fillId="6" borderId="1" xfId="0" applyNumberFormat="1" applyFont="1" applyFill="1" applyBorder="1" applyAlignment="1">
      <alignment horizontal="right" vertical="center"/>
    </xf>
    <xf numFmtId="0" fontId="12" fillId="0" borderId="0" xfId="0" applyFont="1" applyAlignment="1" applyProtection="1">
      <alignment horizontal="center" vertical="center"/>
      <protection hidden="1"/>
    </xf>
    <xf numFmtId="0" fontId="23" fillId="0" borderId="0" xfId="0" applyFont="1" applyAlignment="1">
      <alignment vertical="center"/>
    </xf>
    <xf numFmtId="0" fontId="16" fillId="2" borderId="0" xfId="0" applyFont="1" applyFill="1" applyAlignment="1">
      <alignment horizontal="center" vertical="center"/>
    </xf>
    <xf numFmtId="0" fontId="11" fillId="6" borderId="3" xfId="0" applyFont="1" applyFill="1" applyBorder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top"/>
    </xf>
    <xf numFmtId="6" fontId="25" fillId="0" borderId="0" xfId="0" applyNumberFormat="1" applyFont="1" applyAlignment="1">
      <alignment horizontal="center"/>
    </xf>
    <xf numFmtId="6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6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6" fontId="22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1" xfId="0" applyFill="1" applyBorder="1" applyAlignment="1">
      <alignment horizontal="left"/>
    </xf>
    <xf numFmtId="0" fontId="0" fillId="0" borderId="1" xfId="0" applyNumberFormat="1" applyFill="1" applyBorder="1"/>
    <xf numFmtId="6" fontId="0" fillId="0" borderId="1" xfId="0" applyNumberFormat="1" applyFill="1" applyBorder="1"/>
    <xf numFmtId="0" fontId="4" fillId="0" borderId="1" xfId="0" applyFont="1" applyFill="1" applyBorder="1" applyAlignment="1">
      <alignment horizontal="center"/>
    </xf>
    <xf numFmtId="6" fontId="19" fillId="0" borderId="1" xfId="0" applyNumberFormat="1" applyFont="1" applyFill="1" applyBorder="1"/>
    <xf numFmtId="0" fontId="19" fillId="0" borderId="1" xfId="0" applyFont="1" applyFill="1" applyBorder="1" applyAlignment="1">
      <alignment horizontal="center" vertical="center" wrapText="1"/>
    </xf>
    <xf numFmtId="0" fontId="4" fillId="0" borderId="0" xfId="0" applyFont="1" applyProtection="1">
      <protection hidden="1"/>
    </xf>
  </cellXfs>
  <cellStyles count="2">
    <cellStyle name="Moneda" xfId="1" builtinId="4"/>
    <cellStyle name="Normal" xfId="0" builtinId="0"/>
  </cellStyles>
  <dxfs count="150">
    <dxf>
      <font>
        <b/>
        <i val="0"/>
        <color theme="6" tint="0.39994506668294322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6" tint="-0.249977111117893"/>
        </patternFill>
      </fill>
    </dxf>
    <dxf>
      <fill>
        <patternFill patternType="solid">
          <bgColor theme="6" tint="-0.249977111117893"/>
        </patternFill>
      </fill>
    </dxf>
    <dxf>
      <fill>
        <patternFill patternType="solid">
          <bgColor theme="6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 val="0"/>
      </font>
    </dxf>
    <dxf>
      <font>
        <b val="0"/>
      </font>
    </dxf>
    <dxf>
      <font>
        <b val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1" tint="4.9989318521683403E-2"/>
      </font>
    </dxf>
    <dxf>
      <font>
        <color theme="1" tint="4.9989318521683403E-2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6" tint="-0.249977111117893"/>
        </patternFill>
      </fill>
    </dxf>
    <dxf>
      <fill>
        <patternFill>
          <bgColor theme="6" tint="-0.249977111117893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6" tint="-0.249977111117893"/>
        </patternFill>
      </fill>
    </dxf>
    <dxf>
      <fill>
        <patternFill patternType="solid">
          <bgColor theme="6" tint="-0.249977111117893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>
          <bgColor theme="6" tint="-0.249977111117893"/>
        </patternFill>
      </fill>
    </dxf>
    <dxf>
      <fill>
        <patternFill>
          <bgColor theme="6" tint="-0.249977111117893"/>
        </patternFill>
      </fill>
    </dxf>
    <dxf>
      <fill>
        <patternFill patternType="solid">
          <bgColor theme="6" tint="-0.249977111117893"/>
        </patternFill>
      </fill>
    </dxf>
    <dxf>
      <fill>
        <patternFill patternType="solid">
          <bgColor theme="6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6" tint="-0.249977111117893"/>
        </patternFill>
      </fill>
    </dxf>
    <dxf>
      <fill>
        <patternFill patternType="solid">
          <bgColor theme="6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/mm/yyyy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0" formatCode="&quot;$&quot;\ #,##0;[Red]\-&quot;$&quot;\ 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b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fill>
        <patternFill patternType="solid">
          <bgColor theme="6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0" formatCode="&quot;$&quot;\ #,##0;[Red]\-&quot;$&quot;\ #,##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0" formatCode="&quot;$&quot;\ #,##0;[Red]\-&quot;$&quot;\ #,##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9" formatCode="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0" indent="0" justifyLastLine="0" shrinkToFit="0" readingOrder="0"/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fill>
        <patternFill>
          <fgColor theme="3" tint="9.9948118533890809E-2"/>
        </patternFill>
      </fill>
    </dxf>
    <dxf>
      <font>
        <b/>
        <i val="0"/>
        <color theme="0"/>
      </font>
      <fill>
        <patternFill>
          <bgColor theme="0"/>
        </patternFill>
      </fill>
      <border>
        <left style="thick">
          <color rgb="FF002060"/>
        </left>
        <right style="thick">
          <color rgb="FF002060"/>
        </right>
        <top style="thick">
          <color rgb="FF002060"/>
        </top>
        <bottom style="thick">
          <color rgb="FF002060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 tint="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4" defaultTableStyle="TableStyleMedium2" defaultPivotStyle="PivotStyleLight16">
    <tableStyle name="Estilo de segmentación de datos 1" pivot="0" table="0" count="1" xr9:uid="{53C48E81-6749-48C3-80AA-25677CB5A3E0}">
      <tableStyleElement type="wholeTable" dxfId="149"/>
    </tableStyle>
    <tableStyle name="Estilo de segmentación de datos 2" pivot="0" table="0" count="1" xr9:uid="{841E0358-9A40-439E-9C3D-49C0A7235D61}">
      <tableStyleElement type="wholeTable" dxfId="148"/>
    </tableStyle>
    <tableStyle name="Estilo de segmentación de datos 3" pivot="0" table="0" count="9" xr9:uid="{0601FF56-4530-4C45-BFED-5E6C0C9D368D}">
      <tableStyleElement type="wholeTable" dxfId="147"/>
      <tableStyleElement type="headerRow" dxfId="146"/>
    </tableStyle>
    <tableStyle name="Estilo de tabla dinámica 1" table="0" count="1" xr9:uid="{BB954382-19C9-45F0-91F8-9DCE1B2B268D}">
      <tableStyleElement type="wholeTable" dxfId="145"/>
    </tableStyle>
  </tableStyles>
  <colors>
    <mruColors>
      <color rgb="FFFFFFCC"/>
      <color rgb="FF99CCFF"/>
      <color rgb="FFE0DBFD"/>
      <color rgb="FFCCFF99"/>
    </mruColors>
  </colors>
  <extLst>
    <ext xmlns:x14="http://schemas.microsoft.com/office/spreadsheetml/2009/9/main" uri="{46F421CA-312F-682f-3DD2-61675219B42D}">
      <x14:dxfs count="6">
        <dxf>
          <font>
            <color theme="1" tint="4.9989318521683403E-2"/>
          </font>
          <fill>
            <patternFill>
              <fgColor theme="0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patternFill>
              <bgColor rgb="FF002060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1"/>
          </font>
          <fill>
            <patternFill>
              <bgColor theme="0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ill>
            <patternFill>
              <bgColor theme="3" tint="9.9948118533890809E-2"/>
            </patternFill>
          </fill>
        </dxf>
        <dxf>
          <border>
            <vertical/>
            <horizontal/>
          </border>
        </dxf>
        <dxf>
          <font>
            <color theme="1" tint="4.9989318521683403E-2"/>
          </font>
          <fill>
            <patternFill>
              <bgColor theme="0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/>
        <x14:slicerStyle name="Estilo de segmentación de datos 3">
          <x14:slicerStyleElements>
            <x14:slicerStyleElement type="unselectedItemWithData" dxfId="5"/>
            <x14:slicerStyleElement type="unselectedItemWithNoData" dxfId="4"/>
            <x14:slicerStyleElement type="selectedItemWithData" dxfId="3"/>
            <x14:slicerStyleElement type="selectedItemWithNoData"/>
            <x14:slicerStyleElement type="hoveredUnselectedItemWith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22/11/relationships/FeaturePropertyBag" Target="featurePropertyBag/featurePropertyBag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[proyectoPortafolio.xlsm]Dashboard!tablaProducto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ESRADISTICAS de ventas</a:t>
            </a:r>
          </a:p>
        </c:rich>
      </c:tx>
      <c:layout>
        <c:manualLayout>
          <c:xMode val="edge"/>
          <c:yMode val="edge"/>
          <c:x val="0.48578351110731166"/>
          <c:y val="1.3258957887670526E-2"/>
        </c:manualLayout>
      </c:layout>
      <c:overlay val="0"/>
      <c:spPr>
        <a:noFill/>
        <a:ln w="1587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753978335113979"/>
          <c:y val="0.18914036905437864"/>
          <c:w val="0.72715537846766054"/>
          <c:h val="0.667417659609490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>
              <a:outerShdw blurRad="63500" sx="102000" sy="102000" algn="ctr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CC7-41CC-91C8-49F7F402E37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CC7-41CC-91C8-49F7F402E37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CC7-41CC-91C8-49F7F402E37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CC7-41CC-91C8-49F7F402E37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CC7-41CC-91C8-49F7F402E3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Dashboard!$B$7:$B$10</c:f>
              <c:strCache>
                <c:ptCount val="4"/>
                <c:pt idx="0">
                  <c:v>Moto</c:v>
                </c:pt>
                <c:pt idx="1">
                  <c:v>Reloj</c:v>
                </c:pt>
                <c:pt idx="2">
                  <c:v>Mesa</c:v>
                </c:pt>
                <c:pt idx="3">
                  <c:v>Bicicleta</c:v>
                </c:pt>
              </c:strCache>
            </c:strRef>
          </c:cat>
          <c:val>
            <c:numRef>
              <c:f>Dashboard!$C$7:$C$10</c:f>
              <c:numCache>
                <c:formatCode>"$"#,##0_);[Red]\("$"#,##0\)</c:formatCode>
                <c:ptCount val="4"/>
                <c:pt idx="0">
                  <c:v>70000000</c:v>
                </c:pt>
                <c:pt idx="1">
                  <c:v>50000000</c:v>
                </c:pt>
                <c:pt idx="2">
                  <c:v>5000000</c:v>
                </c:pt>
                <c:pt idx="3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CE-4054-967D-FD0E86A0D7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990849440"/>
        <c:axId val="1990849920"/>
      </c:barChart>
      <c:catAx>
        <c:axId val="199084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90849920"/>
        <c:crosses val="autoZero"/>
        <c:auto val="1"/>
        <c:lblAlgn val="ctr"/>
        <c:lblOffset val="100"/>
        <c:noMultiLvlLbl val="0"/>
      </c:catAx>
      <c:valAx>
        <c:axId val="1990849920"/>
        <c:scaling>
          <c:orientation val="minMax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908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accent3">
          <a:lumMod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[proyectoPortafolio.xlsm]Dashboard!TablaDinámica6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Estadisticas de vendedores</a:t>
            </a:r>
          </a:p>
        </c:rich>
      </c:tx>
      <c:layout>
        <c:manualLayout>
          <c:xMode val="edge"/>
          <c:yMode val="edge"/>
          <c:x val="0.16368516824077378"/>
          <c:y val="1.89708890214195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3"/>
          </a:solidFill>
          <a:ln>
            <a:noFill/>
          </a:ln>
          <a:effectLst/>
        </c:spPr>
      </c:pivotFmt>
      <c:pivotFmt>
        <c:idx val="7"/>
        <c:spPr>
          <a:solidFill>
            <a:schemeClr val="accent3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22748261927354"/>
          <c:y val="0.17090561317503145"/>
          <c:w val="0.78470328016774438"/>
          <c:h val="0.61693269815409613"/>
        </c:manualLayout>
      </c:layout>
      <c:doughnutChart>
        <c:varyColors val="1"/>
        <c:ser>
          <c:idx val="0"/>
          <c:order val="0"/>
          <c:tx>
            <c:strRef>
              <c:f>Dashboard!$G$18</c:f>
              <c:strCache>
                <c:ptCount val="1"/>
                <c:pt idx="0">
                  <c:v>Total # de ventas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4D-4D53-8A8F-516ADB4CD2A0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14D-4D53-8A8F-516ADB4CD2A0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Dashboard!$F$19:$F$20</c:f>
              <c:strCache>
                <c:ptCount val="2"/>
                <c:pt idx="0">
                  <c:v>Manuel Ramos Romero</c:v>
                </c:pt>
                <c:pt idx="1">
                  <c:v>Sandra Ramos Romero</c:v>
                </c:pt>
              </c:strCache>
            </c:strRef>
          </c:cat>
          <c:val>
            <c:numRef>
              <c:f>Dashboard!$G$19:$G$20</c:f>
              <c:numCache>
                <c:formatCode>General</c:formatCode>
                <c:ptCount val="2"/>
                <c:pt idx="0">
                  <c:v>42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E7-4769-A647-5168A6D2A59F}"/>
            </c:ext>
          </c:extLst>
        </c:ser>
        <c:ser>
          <c:idx val="1"/>
          <c:order val="1"/>
          <c:tx>
            <c:strRef>
              <c:f>Dashboard!$H$18</c:f>
              <c:strCache>
                <c:ptCount val="1"/>
                <c:pt idx="0">
                  <c:v> Total de vendido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14D-4D53-8A8F-516ADB4CD2A0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14D-4D53-8A8F-516ADB4CD2A0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Dashboard!$F$19:$F$20</c:f>
              <c:strCache>
                <c:ptCount val="2"/>
                <c:pt idx="0">
                  <c:v>Manuel Ramos Romero</c:v>
                </c:pt>
                <c:pt idx="1">
                  <c:v>Sandra Ramos Romero</c:v>
                </c:pt>
              </c:strCache>
            </c:strRef>
          </c:cat>
          <c:val>
            <c:numRef>
              <c:f>Dashboard!$H$19:$H$20</c:f>
              <c:numCache>
                <c:formatCode>"$"#,##0_);[Red]\("$"#,##0\)</c:formatCode>
                <c:ptCount val="2"/>
                <c:pt idx="0">
                  <c:v>87000000</c:v>
                </c:pt>
                <c:pt idx="1">
                  <c:v>48000000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E7-4769-A647-5168A6D2A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solidFill>
        <a:schemeClr val="accent3">
          <a:lumMod val="75000"/>
        </a:schemeClr>
      </a:solidFill>
      <a:round/>
    </a:ln>
    <a:effectLst/>
  </c:spPr>
  <c:txPr>
    <a:bodyPr/>
    <a:lstStyle/>
    <a:p>
      <a:pPr>
        <a:defRPr b="1"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9953</xdr:colOff>
      <xdr:row>11</xdr:row>
      <xdr:rowOff>28729</xdr:rowOff>
    </xdr:from>
    <xdr:to>
      <xdr:col>11</xdr:col>
      <xdr:colOff>1152344</xdr:colOff>
      <xdr:row>12</xdr:row>
      <xdr:rowOff>177515</xdr:rowOff>
    </xdr:to>
    <xdr:sp macro="[0]!insertarV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FD2B7D3-15DC-492C-B2C0-A62ACC5E414A}"/>
            </a:ext>
          </a:extLst>
        </xdr:cNvPr>
        <xdr:cNvSpPr/>
      </xdr:nvSpPr>
      <xdr:spPr>
        <a:xfrm>
          <a:off x="12508505" y="2533695"/>
          <a:ext cx="1142391" cy="376510"/>
        </a:xfrm>
        <a:prstGeom prst="roundRect">
          <a:avLst>
            <a:gd name="adj" fmla="val 50000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accent6">
                  <a:lumMod val="50000"/>
                </a:schemeClr>
              </a:solidFill>
            </a:rPr>
            <a:t>AGREGAR</a:t>
          </a:r>
        </a:p>
      </xdr:txBody>
    </xdr:sp>
    <xdr:clientData/>
  </xdr:twoCellAnchor>
  <xdr:twoCellAnchor>
    <xdr:from>
      <xdr:col>9</xdr:col>
      <xdr:colOff>289035</xdr:colOff>
      <xdr:row>0</xdr:row>
      <xdr:rowOff>218967</xdr:rowOff>
    </xdr:from>
    <xdr:to>
      <xdr:col>12</xdr:col>
      <xdr:colOff>183931</xdr:colOff>
      <xdr:row>13</xdr:row>
      <xdr:rowOff>166415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73CC045-0F8B-2BC9-B26E-9A01CB3F581E}"/>
            </a:ext>
          </a:extLst>
        </xdr:cNvPr>
        <xdr:cNvSpPr/>
      </xdr:nvSpPr>
      <xdr:spPr>
        <a:xfrm>
          <a:off x="10948276" y="218967"/>
          <a:ext cx="4064000" cy="2907862"/>
        </a:xfrm>
        <a:prstGeom prst="roundRect">
          <a:avLst/>
        </a:prstGeom>
        <a:noFill/>
        <a:ln w="28575" cap="flat" cmpd="sng" algn="ctr">
          <a:solidFill>
            <a:schemeClr val="accent3">
              <a:alpha val="9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127000" dist="38100" dir="16560000" algn="tr" rotWithShape="0">
            <a:prstClr val="black">
              <a:alpha val="92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0</xdr:row>
      <xdr:rowOff>68580</xdr:rowOff>
    </xdr:from>
    <xdr:to>
      <xdr:col>6</xdr:col>
      <xdr:colOff>99060</xdr:colOff>
      <xdr:row>3</xdr:row>
      <xdr:rowOff>129540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110C7C2-43AB-B60B-9F66-E59CA651DC78}"/>
            </a:ext>
          </a:extLst>
        </xdr:cNvPr>
        <xdr:cNvSpPr/>
      </xdr:nvSpPr>
      <xdr:spPr>
        <a:xfrm>
          <a:off x="60960" y="68580"/>
          <a:ext cx="3192780" cy="609600"/>
        </a:xfrm>
        <a:prstGeom prst="roundRect">
          <a:avLst/>
        </a:prstGeom>
        <a:noFill/>
        <a:ln w="190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83820</xdr:colOff>
      <xdr:row>0</xdr:row>
      <xdr:rowOff>60960</xdr:rowOff>
    </xdr:from>
    <xdr:ext cx="3238500" cy="609013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6ACFDCF0-F8DD-BD69-7947-3D5419A6C39D}"/>
            </a:ext>
          </a:extLst>
        </xdr:cNvPr>
        <xdr:cNvSpPr txBox="1"/>
      </xdr:nvSpPr>
      <xdr:spPr>
        <a:xfrm>
          <a:off x="83820" y="60960"/>
          <a:ext cx="32385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s-ES" sz="1100"/>
            <a:t>DEBAJO</a:t>
          </a:r>
          <a:r>
            <a:rPr lang="es-ES" sz="1100" baseline="0"/>
            <a:t> DE LOS NOMBRE SE ESCRIBE ABAJO UN NUEVO NOMBRE Y SE GENERAN AUTOMATICAMENTE</a:t>
          </a:r>
        </a:p>
        <a:p>
          <a:pPr algn="l"/>
          <a:r>
            <a:rPr lang="es-ES" sz="1100" baseline="0"/>
            <a:t>LAS CASILLAS</a:t>
          </a:r>
          <a:endParaRPr lang="es-ES" sz="1100"/>
        </a:p>
      </xdr:txBody>
    </xdr:sp>
    <xdr:clientData/>
  </xdr:oneCellAnchor>
  <xdr:twoCellAnchor>
    <xdr:from>
      <xdr:col>0</xdr:col>
      <xdr:colOff>982980</xdr:colOff>
      <xdr:row>3</xdr:row>
      <xdr:rowOff>129540</xdr:rowOff>
    </xdr:from>
    <xdr:to>
      <xdr:col>1</xdr:col>
      <xdr:colOff>293370</xdr:colOff>
      <xdr:row>5</xdr:row>
      <xdr:rowOff>91440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DB430CFE-0A2D-63D5-CC27-CC2046F2FBBA}"/>
            </a:ext>
          </a:extLst>
        </xdr:cNvPr>
        <xdr:cNvCxnSpPr>
          <a:stCxn id="2" idx="2"/>
        </xdr:cNvCxnSpPr>
      </xdr:nvCxnSpPr>
      <xdr:spPr>
        <a:xfrm flipH="1">
          <a:off x="982980" y="678180"/>
          <a:ext cx="674370" cy="3276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456114</xdr:colOff>
      <xdr:row>8</xdr:row>
      <xdr:rowOff>21905</xdr:rowOff>
    </xdr:from>
    <xdr:to>
      <xdr:col>7</xdr:col>
      <xdr:colOff>750645</xdr:colOff>
      <xdr:row>9</xdr:row>
      <xdr:rowOff>78455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2DB9210-785B-477B-A8A5-57067B701418}"/>
            </a:ext>
          </a:extLst>
        </xdr:cNvPr>
        <xdr:cNvSpPr/>
      </xdr:nvSpPr>
      <xdr:spPr>
        <a:xfrm>
          <a:off x="6748759" y="1463970"/>
          <a:ext cx="1064725" cy="236808"/>
        </a:xfrm>
        <a:prstGeom prst="roundRect">
          <a:avLst>
            <a:gd name="adj" fmla="val 50000"/>
          </a:avLst>
        </a:prstGeom>
        <a:effectLst>
          <a:glow rad="101600">
            <a:schemeClr val="accent3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accent6">
                  <a:lumMod val="50000"/>
                </a:schemeClr>
              </a:solidFill>
            </a:rPr>
            <a:t>AGREGAR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</xdr:row>
      <xdr:rowOff>97997</xdr:rowOff>
    </xdr:from>
    <xdr:to>
      <xdr:col>11</xdr:col>
      <xdr:colOff>560103</xdr:colOff>
      <xdr:row>12</xdr:row>
      <xdr:rowOff>99060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4E301F-3752-A180-257C-955EBD16AF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146543</xdr:colOff>
      <xdr:row>2</xdr:row>
      <xdr:rowOff>67048</xdr:rowOff>
    </xdr:from>
    <xdr:to>
      <xdr:col>3</xdr:col>
      <xdr:colOff>1272594</xdr:colOff>
      <xdr:row>10</xdr:row>
      <xdr:rowOff>120713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ucto vendido">
              <a:extLst>
                <a:ext uri="{FF2B5EF4-FFF2-40B4-BE49-F238E27FC236}">
                  <a16:creationId xmlns:a16="http://schemas.microsoft.com/office/drawing/2014/main" id="{8B21C916-CD3D-4EF1-93FE-EBFB159BE7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ven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73943" y="439581"/>
              <a:ext cx="1126051" cy="1543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31287</xdr:colOff>
      <xdr:row>2</xdr:row>
      <xdr:rowOff>42931</xdr:rowOff>
    </xdr:from>
    <xdr:to>
      <xdr:col>2</xdr:col>
      <xdr:colOff>1618851</xdr:colOff>
      <xdr:row>4</xdr:row>
      <xdr:rowOff>111428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B869512-5756-EAD2-8B38-0481BF5EC146}"/>
            </a:ext>
          </a:extLst>
        </xdr:cNvPr>
        <xdr:cNvSpPr/>
      </xdr:nvSpPr>
      <xdr:spPr>
        <a:xfrm>
          <a:off x="1404325" y="402365"/>
          <a:ext cx="3089998" cy="42793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effectLst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2000" b="1" i="0" u="none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RESUMEN DE VENTA</a:t>
          </a:r>
        </a:p>
      </xdr:txBody>
    </xdr:sp>
    <xdr:clientData/>
  </xdr:twoCellAnchor>
  <xdr:twoCellAnchor>
    <xdr:from>
      <xdr:col>0</xdr:col>
      <xdr:colOff>114300</xdr:colOff>
      <xdr:row>0</xdr:row>
      <xdr:rowOff>126999</xdr:rowOff>
    </xdr:from>
    <xdr:to>
      <xdr:col>15</xdr:col>
      <xdr:colOff>152400</xdr:colOff>
      <xdr:row>24</xdr:row>
      <xdr:rowOff>16932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27FA0150-5698-FCAB-890E-6C87F87F4DF3}"/>
            </a:ext>
          </a:extLst>
        </xdr:cNvPr>
        <xdr:cNvSpPr/>
      </xdr:nvSpPr>
      <xdr:spPr>
        <a:xfrm>
          <a:off x="114300" y="126999"/>
          <a:ext cx="14863233" cy="4360333"/>
        </a:xfrm>
        <a:prstGeom prst="roundRect">
          <a:avLst>
            <a:gd name="adj" fmla="val 3700"/>
          </a:avLst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>
          <a:outerShdw blurRad="139700" sx="102000" sy="102000" algn="ctr" rotWithShape="0">
            <a:prstClr val="black">
              <a:alpha val="53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205740</xdr:colOff>
      <xdr:row>1</xdr:row>
      <xdr:rowOff>105102</xdr:rowOff>
    </xdr:from>
    <xdr:to>
      <xdr:col>4</xdr:col>
      <xdr:colOff>32846</xdr:colOff>
      <xdr:row>11</xdr:row>
      <xdr:rowOff>76199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466B3F3-66A3-4A51-B085-71517DAA7736}"/>
            </a:ext>
          </a:extLst>
        </xdr:cNvPr>
        <xdr:cNvSpPr/>
      </xdr:nvSpPr>
      <xdr:spPr>
        <a:xfrm>
          <a:off x="205740" y="291369"/>
          <a:ext cx="4551506" cy="1833763"/>
        </a:xfrm>
        <a:prstGeom prst="roundRect">
          <a:avLst>
            <a:gd name="adj" fmla="val 6818"/>
          </a:avLst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229447</xdr:colOff>
      <xdr:row>11</xdr:row>
      <xdr:rowOff>184934</xdr:rowOff>
    </xdr:from>
    <xdr:to>
      <xdr:col>4</xdr:col>
      <xdr:colOff>31468</xdr:colOff>
      <xdr:row>17</xdr:row>
      <xdr:rowOff>2541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ED383A5-3075-4888-9C82-DCBED5EDF41C}"/>
            </a:ext>
          </a:extLst>
        </xdr:cNvPr>
        <xdr:cNvSpPr/>
      </xdr:nvSpPr>
      <xdr:spPr>
        <a:xfrm>
          <a:off x="229447" y="2233867"/>
          <a:ext cx="4526421" cy="935207"/>
        </a:xfrm>
        <a:prstGeom prst="roundRect">
          <a:avLst>
            <a:gd name="adj" fmla="val 6818"/>
          </a:avLst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175260</xdr:colOff>
      <xdr:row>13</xdr:row>
      <xdr:rowOff>26276</xdr:rowOff>
    </xdr:from>
    <xdr:to>
      <xdr:col>11</xdr:col>
      <xdr:colOff>579641</xdr:colOff>
      <xdr:row>23</xdr:row>
      <xdr:rowOff>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67EAFA04-32D0-4EF0-99FE-9A0C210523CF}"/>
            </a:ext>
          </a:extLst>
        </xdr:cNvPr>
        <xdr:cNvSpPr/>
      </xdr:nvSpPr>
      <xdr:spPr>
        <a:xfrm>
          <a:off x="4709160" y="2403716"/>
          <a:ext cx="5875541" cy="1802524"/>
        </a:xfrm>
        <a:prstGeom prst="roundRect">
          <a:avLst>
            <a:gd name="adj" fmla="val 3788"/>
          </a:avLst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8</xdr:col>
      <xdr:colOff>171481</xdr:colOff>
      <xdr:row>16</xdr:row>
      <xdr:rowOff>175131</xdr:rowOff>
    </xdr:from>
    <xdr:to>
      <xdr:col>11</xdr:col>
      <xdr:colOff>319781</xdr:colOff>
      <xdr:row>22</xdr:row>
      <xdr:rowOff>83690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Empleado">
              <a:extLst>
                <a:ext uri="{FF2B5EF4-FFF2-40B4-BE49-F238E27FC236}">
                  <a16:creationId xmlns:a16="http://schemas.microsoft.com/office/drawing/2014/main" id="{7C9F9B36-6487-AA9E-E5E5-52E7BA381A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ple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58281" y="3155398"/>
              <a:ext cx="1850100" cy="10261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5</xdr:col>
      <xdr:colOff>46038</xdr:colOff>
      <xdr:row>13</xdr:row>
      <xdr:rowOff>142847</xdr:rowOff>
    </xdr:from>
    <xdr:to>
      <xdr:col>11</xdr:col>
      <xdr:colOff>397282</xdr:colOff>
      <xdr:row>16</xdr:row>
      <xdr:rowOff>27413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0CDD716-054C-4927-9FF6-90828B8198AB}"/>
            </a:ext>
          </a:extLst>
        </xdr:cNvPr>
        <xdr:cNvSpPr/>
      </xdr:nvSpPr>
      <xdr:spPr>
        <a:xfrm>
          <a:off x="4982756" y="2513514"/>
          <a:ext cx="4942782" cy="431643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effectLst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2000" b="1" i="0" u="none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ESTADISTICAS DE VENDEDORES</a:t>
          </a:r>
        </a:p>
      </xdr:txBody>
    </xdr:sp>
    <xdr:clientData/>
  </xdr:twoCellAnchor>
  <xdr:twoCellAnchor>
    <xdr:from>
      <xdr:col>11</xdr:col>
      <xdr:colOff>706115</xdr:colOff>
      <xdr:row>19</xdr:row>
      <xdr:rowOff>60960</xdr:rowOff>
    </xdr:from>
    <xdr:to>
      <xdr:col>15</xdr:col>
      <xdr:colOff>15240</xdr:colOff>
      <xdr:row>22</xdr:row>
      <xdr:rowOff>137160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08BC348-B449-4A38-B9F6-854CAD73CF22}"/>
            </a:ext>
          </a:extLst>
        </xdr:cNvPr>
        <xdr:cNvSpPr/>
      </xdr:nvSpPr>
      <xdr:spPr>
        <a:xfrm>
          <a:off x="10711175" y="3535680"/>
          <a:ext cx="3736345" cy="624840"/>
        </a:xfrm>
        <a:prstGeom prst="roundRect">
          <a:avLst>
            <a:gd name="adj" fmla="val 6818"/>
          </a:avLst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679552</xdr:colOff>
      <xdr:row>1</xdr:row>
      <xdr:rowOff>101601</xdr:rowOff>
    </xdr:from>
    <xdr:to>
      <xdr:col>15</xdr:col>
      <xdr:colOff>24744</xdr:colOff>
      <xdr:row>16</xdr:row>
      <xdr:rowOff>129541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2B1CE028-D115-904B-7059-C53F21AF9A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220979</xdr:colOff>
      <xdr:row>18</xdr:row>
      <xdr:rowOff>148255</xdr:rowOff>
    </xdr:from>
    <xdr:to>
      <xdr:col>4</xdr:col>
      <xdr:colOff>42332</xdr:colOff>
      <xdr:row>22</xdr:row>
      <xdr:rowOff>176727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789494E4-298D-4ACE-820B-4D4ECA41D479}"/>
            </a:ext>
          </a:extLst>
        </xdr:cNvPr>
        <xdr:cNvSpPr/>
      </xdr:nvSpPr>
      <xdr:spPr>
        <a:xfrm>
          <a:off x="220979" y="3501055"/>
          <a:ext cx="4545753" cy="773539"/>
        </a:xfrm>
        <a:prstGeom prst="roundRect">
          <a:avLst>
            <a:gd name="adj" fmla="val 6818"/>
          </a:avLst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amos Romero" refreshedDate="45933.90120601852" createdVersion="8" refreshedVersion="8" minRefreshableVersion="3" recordCount="8" xr:uid="{171873C3-0E39-436E-BD86-69322B30B84A}">
  <cacheSource type="worksheet">
    <worksheetSource name="Tabla10"/>
  </cacheSource>
  <cacheFields count="7">
    <cacheField name="Empleado" numFmtId="0">
      <sharedItems count="2">
        <s v="Manuel Ramos Romero"/>
        <s v="Sandra Ramos Romero"/>
      </sharedItems>
    </cacheField>
    <cacheField name="Fecha" numFmtId="14">
      <sharedItems containsSemiMixedTypes="0" containsNonDate="0" containsDate="1" containsString="0" minDate="2025-10-02T00:00:00" maxDate="2025-10-04T00:00:00"/>
    </cacheField>
    <cacheField name="Producto vendido" numFmtId="0">
      <sharedItems count="4">
        <s v="Bicicleta"/>
        <s v="Moto"/>
        <s v="Mesa"/>
        <s v="Reloj"/>
      </sharedItems>
    </cacheField>
    <cacheField name="# de ventas" numFmtId="0">
      <sharedItems containsSemiMixedTypes="0" containsString="0" containsNumber="1" containsInteger="1" minValue="2" maxValue="50" count="9">
        <n v="10"/>
        <n v="7"/>
        <n v="20"/>
        <n v="40"/>
        <n v="2"/>
        <n v="5"/>
        <n v="3"/>
        <n v="50" u="1"/>
        <n v="4" u="1"/>
      </sharedItems>
    </cacheField>
    <cacheField name="Precio unitario" numFmtId="6">
      <sharedItems containsSemiMixedTypes="0" containsString="0" containsNumber="1" containsInteger="1" minValue="200000" maxValue="7000000"/>
    </cacheField>
    <cacheField name="Total de venta" numFmtId="6">
      <sharedItems containsSemiMixedTypes="0" containsString="0" containsNumber="1" containsInteger="1" minValue="2000000" maxValue="49000000"/>
    </cacheField>
    <cacheField name="Cliente(Opcional)" numFmtId="0">
      <sharedItems/>
    </cacheField>
  </cacheFields>
  <extLst>
    <ext xmlns:x14="http://schemas.microsoft.com/office/spreadsheetml/2009/9/main" uri="{725AE2AE-9491-48be-B2B4-4EB974FC3084}">
      <x14:pivotCacheDefinition pivotCacheId="147088641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d v="2025-10-03T00:00:00"/>
    <x v="0"/>
    <x v="0"/>
    <n v="200000"/>
    <n v="2000000"/>
    <s v="NO ESPECIFICADO"/>
  </r>
  <r>
    <x v="0"/>
    <d v="2025-10-03T00:00:00"/>
    <x v="1"/>
    <x v="1"/>
    <n v="7000000"/>
    <n v="49000000"/>
    <s v="NO ESPECIFICADO"/>
  </r>
  <r>
    <x v="0"/>
    <d v="2025-10-03T00:00:00"/>
    <x v="2"/>
    <x v="2"/>
    <n v="250000"/>
    <n v="5000000"/>
    <s v="NO ESPECIFICADO"/>
  </r>
  <r>
    <x v="1"/>
    <d v="2025-10-03T00:00:00"/>
    <x v="0"/>
    <x v="3"/>
    <n v="200000"/>
    <n v="8000000"/>
    <s v="NO ESPECIFICADO"/>
  </r>
  <r>
    <x v="0"/>
    <d v="2025-10-03T00:00:00"/>
    <x v="3"/>
    <x v="4"/>
    <n v="5000000"/>
    <n v="10000000"/>
    <s v="NO ESPECIFICADO"/>
  </r>
  <r>
    <x v="1"/>
    <d v="2025-10-03T00:00:00"/>
    <x v="3"/>
    <x v="5"/>
    <n v="5000000"/>
    <n v="25000000"/>
    <s v="NO ESPECIFICADO"/>
  </r>
  <r>
    <x v="0"/>
    <d v="2025-10-02T00:00:00"/>
    <x v="1"/>
    <x v="6"/>
    <n v="7000000"/>
    <n v="21000000"/>
    <s v="NO ESPECIFICADO"/>
  </r>
  <r>
    <x v="1"/>
    <d v="2025-10-02T00:00:00"/>
    <x v="3"/>
    <x v="6"/>
    <n v="5000000"/>
    <n v="15000000"/>
    <s v="NO ESPECIFIC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51BE01-1FF3-4140-83C1-1BE6514251EA}" name="TablaDinámica6" cacheId="7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36">
  <location ref="F18:H20" firstHeaderRow="0" firstDataRow="1" firstDataCol="1"/>
  <pivotFields count="7">
    <pivotField axis="axisRow" showAll="0" defaultSubtotal="0">
      <items count="2">
        <item x="0"/>
        <item x="1"/>
      </items>
    </pivotField>
    <pivotField numFmtId="14" showAll="0" defaultSubtotal="0"/>
    <pivotField showAll="0" defaultSubtotal="0"/>
    <pivotField dataField="1" showAll="0" defaultSubtotal="0"/>
    <pivotField numFmtId="6" showAll="0" defaultSubtotal="0"/>
    <pivotField dataField="1" numFmtId="6" showAll="0" defaultSubtotal="0"/>
    <pivotField showAll="0" defaultSubtotal="0"/>
  </pivotFields>
  <rowFields count="1">
    <field x="0"/>
  </rowFields>
  <rowItems count="2">
    <i>
      <x/>
    </i>
    <i>
      <x v="1"/>
    </i>
  </rowItems>
  <colFields count="1">
    <field x="-2"/>
  </colFields>
  <colItems count="2">
    <i>
      <x/>
    </i>
    <i i="1">
      <x v="1"/>
    </i>
  </colItems>
  <dataFields count="2">
    <dataField name="Total # de ventas" fld="3" baseField="0" baseItem="0"/>
    <dataField name=" Total de vendido" fld="5" baseField="0" baseItem="0" numFmtId="6"/>
  </dataFields>
  <formats count="26">
    <format dxfId="71">
      <pivotArea type="all" dataOnly="0" outline="0" fieldPosition="0"/>
    </format>
    <format dxfId="70">
      <pivotArea field="0" type="button" dataOnly="0" labelOnly="1" outline="0" axis="axisRow" fieldPosition="0"/>
    </format>
    <format dxfId="69">
      <pivotArea dataOnly="0" labelOnly="1" grandRow="1" outline="0" fieldPosition="0"/>
    </format>
    <format dxfId="68">
      <pivotArea dataOnly="0" labelOnly="1" outline="0" axis="axisValues" fieldPosition="0"/>
    </format>
    <format dxfId="67">
      <pivotArea field="0" type="button" dataOnly="0" labelOnly="1" outline="0" axis="axisRow" fieldPosition="0"/>
    </format>
    <format dxfId="66">
      <pivotArea dataOnly="0" labelOnly="1" outline="0" axis="axisValues" fieldPosition="0"/>
    </format>
    <format dxfId="65">
      <pivotArea field="0" type="button" dataOnly="0" labelOnly="1" outline="0" axis="axisRow" fieldPosition="0"/>
    </format>
    <format dxfId="64">
      <pivotArea dataOnly="0" labelOnly="1" outline="0" axis="axisValues" fieldPosition="0"/>
    </format>
    <format dxfId="63">
      <pivotArea grandRow="1" outline="0" collapsedLevelsAreSubtotals="1" fieldPosition="0"/>
    </format>
    <format dxfId="62">
      <pivotArea dataOnly="0" labelOnly="1" grandRow="1" outline="0" fieldPosition="0"/>
    </format>
    <format dxfId="61">
      <pivotArea grandRow="1" outline="0" collapsedLevelsAreSubtotals="1" fieldPosition="0"/>
    </format>
    <format dxfId="60">
      <pivotArea dataOnly="0" labelOnly="1" grandRow="1" outline="0" fieldPosition="0"/>
    </format>
    <format dxfId="59">
      <pivotArea field="0" type="button" dataOnly="0" labelOnly="1" outline="0" axis="axisRow" fieldPosition="0"/>
    </format>
    <format dxfId="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">
      <pivotArea field="0" type="button" dataOnly="0" labelOnly="1" outline="0" axis="axisRow" fieldPosition="0"/>
    </format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0" type="button" dataOnly="0" labelOnly="1" outline="0" axis="axisRow" fieldPosition="0"/>
    </format>
    <format dxfId="52">
      <pivotArea dataOnly="0" labelOnly="1" fieldPosition="0">
        <references count="1">
          <reference field="0" count="0"/>
        </references>
      </pivotArea>
    </format>
    <format dxfId="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fieldPosition="0">
        <references count="1">
          <reference field="0" count="0"/>
        </references>
      </pivotArea>
    </format>
    <format dxfId="47">
      <pivotArea field="0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6"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0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B745C-DCC5-4475-B039-563F1FD95CCC}" name="tablaProducto" cacheId="72" applyNumberFormats="0" applyBorderFormats="0" applyFontFormats="0" applyPatternFormats="0" applyAlignmentFormats="0" applyWidthHeightFormats="1" dataCaption="Valores" missingCaption="-----" updatedVersion="8" minRefreshableVersion="3" useAutoFormatting="1" rowGrandTotals="0" colGrandTotals="0" itemPrintTitles="1" mergeItem="1" createdVersion="8" indent="0" compact="0" compactData="0" multipleFieldFilters="0" chartFormat="50">
  <location ref="B6:C10" firstHeaderRow="1" firstDataRow="1" firstDataCol="1"/>
  <pivotFields count="7"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s vendidos" axis="axisRow" compact="0" outline="0" subtotalTop="0" showAll="0">
      <items count="5">
        <item x="1"/>
        <item x="3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10">
        <item x="5"/>
        <item x="6"/>
        <item x="4"/>
        <item m="1" x="7"/>
        <item m="1" x="8"/>
        <item x="3"/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6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a de Total de venta" fld="5" baseField="0" baseItem="0" numFmtId="6"/>
  </dataFields>
  <formats count="38">
    <format dxfId="7">
      <pivotArea field="2" type="button" dataOnly="0" labelOnly="1" outline="0" axis="axisRow" fieldPosition="0"/>
    </format>
    <format dxfId="8">
      <pivotArea field="3" type="button" dataOnly="0" labelOnly="1" outline="0"/>
    </format>
    <format dxfId="9">
      <pivotArea dataOnly="0" labelOnly="1" outline="0" axis="axisValues" fieldPosition="0"/>
    </format>
    <format dxfId="10">
      <pivotArea field="2" type="button" dataOnly="0" labelOnly="1" outline="0" axis="axisRow" fieldPosition="0"/>
    </format>
    <format dxfId="11">
      <pivotArea field="3" type="button" dataOnly="0" labelOnly="1" outline="0"/>
    </format>
    <format dxfId="12">
      <pivotArea dataOnly="0" labelOnly="1" outline="0" axis="axisValues" fieldPosition="0"/>
    </format>
    <format dxfId="13">
      <pivotArea outline="0" collapsedLevelsAreSubtotals="1" fieldPosition="0"/>
    </format>
    <format dxfId="14">
      <pivotArea dataOnly="0" labelOnly="1" outline="0" fieldPosition="0">
        <references count="1">
          <reference field="2" count="0"/>
        </references>
      </pivotArea>
    </format>
    <format dxfId="15">
      <pivotArea dataOnly="0" labelOnly="1" outline="0" fieldPosition="0">
        <references count="1">
          <reference field="2" count="0" defaultSubtotal="1"/>
        </references>
      </pivotArea>
    </format>
    <format dxfId="16">
      <pivotArea outline="0" collapsedLevelsAreSubtotals="1" fieldPosition="0"/>
    </format>
    <format dxfId="17">
      <pivotArea dataOnly="0" labelOnly="1" outline="0" fieldPosition="0">
        <references count="1">
          <reference field="2" count="0"/>
        </references>
      </pivotArea>
    </format>
    <format dxfId="18">
      <pivotArea dataOnly="0" labelOnly="1" outline="0" fieldPosition="0">
        <references count="1">
          <reference field="2" count="0" defaultSubtotal="1"/>
        </references>
      </pivotArea>
    </format>
    <format dxfId="19">
      <pivotArea type="all" dataOnly="0" outline="0" fieldPosition="0"/>
    </format>
    <format dxfId="20">
      <pivotArea outline="0" collapsedLevelsAreSubtotals="1" fieldPosition="0"/>
    </format>
    <format dxfId="21">
      <pivotArea field="2" type="button" dataOnly="0" labelOnly="1" outline="0" axis="axisRow" fieldPosition="0"/>
    </format>
    <format dxfId="22">
      <pivotArea field="3" type="button" dataOnly="0" labelOnly="1" outline="0"/>
    </format>
    <format dxfId="23">
      <pivotArea dataOnly="0" labelOnly="1" outline="0" fieldPosition="0">
        <references count="1">
          <reference field="2" count="0"/>
        </references>
      </pivotArea>
    </format>
    <format dxfId="24">
      <pivotArea dataOnly="0" labelOnly="1" outline="0" fieldPosition="0">
        <references count="1">
          <reference field="2" count="0" defaultSubtotal="1"/>
        </references>
      </pivotArea>
    </format>
    <format dxfId="25">
      <pivotArea dataOnly="0" labelOnly="1" outline="0" axis="axisValues" fieldPosition="0"/>
    </format>
    <format dxfId="26">
      <pivotArea type="all" dataOnly="0" outline="0" fieldPosition="0"/>
    </format>
    <format dxfId="27">
      <pivotArea field="2" type="button" dataOnly="0" labelOnly="1" outline="0" axis="axisRow" fieldPosition="0"/>
    </format>
    <format dxfId="28">
      <pivotArea dataOnly="0" labelOnly="1" outline="0" axis="axisValues" fieldPosition="0"/>
    </format>
    <format dxfId="29">
      <pivotArea field="2" type="button" dataOnly="0" labelOnly="1" outline="0" axis="axisRow" fieldPosition="0"/>
    </format>
    <format dxfId="30">
      <pivotArea dataOnly="0" labelOnly="1" outline="0" axis="axisValues" fieldPosition="0"/>
    </format>
    <format dxfId="31">
      <pivotArea field="2" type="button" dataOnly="0" labelOnly="1" outline="0" axis="axisRow" fieldPosition="0"/>
    </format>
    <format dxfId="32">
      <pivotArea dataOnly="0" labelOnly="1" outline="0" axis="axisValues" fieldPosition="0"/>
    </format>
    <format dxfId="33">
      <pivotArea field="2" type="button" dataOnly="0" labelOnly="1" outline="0" axis="axisRow" fieldPosition="0"/>
    </format>
    <format dxfId="34">
      <pivotArea dataOnly="0" labelOnly="1" outline="0" axis="axisValues" fieldPosition="0"/>
    </format>
    <format dxfId="35">
      <pivotArea type="all" dataOnly="0" outline="0" fieldPosition="0"/>
    </format>
    <format dxfId="36">
      <pivotArea grandRow="1" outline="0" collapsedLevelsAreSubtotals="1" fieldPosition="0"/>
    </format>
    <format dxfId="37">
      <pivotArea dataOnly="0" labelOnly="1" grandRow="1" outline="0" fieldPosition="0"/>
    </format>
    <format dxfId="38">
      <pivotArea grandRow="1" outline="0" collapsedLevelsAreSubtotals="1" fieldPosition="0"/>
    </format>
    <format dxfId="39">
      <pivotArea dataOnly="0" labelOnly="1" grandRow="1" outline="0" fieldPosition="0"/>
    </format>
    <format dxfId="40">
      <pivotArea type="all" dataOnly="0" outline="0" fieldPosition="0"/>
    </format>
    <format dxfId="41">
      <pivotArea outline="0" collapsedLevelsAreSubtotals="1" fieldPosition="0"/>
    </format>
    <format dxfId="42">
      <pivotArea field="2" type="button" dataOnly="0" labelOnly="1" outline="0" axis="axisRow" fieldPosition="0"/>
    </format>
    <format dxfId="43">
      <pivotArea dataOnly="0" labelOnly="1" outline="0" fieldPosition="0">
        <references count="1">
          <reference field="2" count="0"/>
        </references>
      </pivotArea>
    </format>
    <format dxfId="44">
      <pivotArea dataOnly="0" labelOnly="1" outline="0" axis="axisValues" fieldPosition="0"/>
    </format>
  </format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_vendido" xr10:uid="{E1869C2B-9702-4308-AD8A-06B75151F01A}" sourceName="Producto vendido">
  <pivotTables>
    <pivotTable tabId="17" name="tablaProducto"/>
  </pivotTables>
  <data>
    <tabular pivotCacheId="1470886414">
      <items count="4">
        <i x="0" s="1"/>
        <i x="2" s="1"/>
        <i x="1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mpleado" xr10:uid="{C2EED0A1-D5C2-43EA-BEAE-3A94D62007B3}" sourceName="Empleado">
  <pivotTables>
    <pivotTable tabId="17" name="TablaDinámica6"/>
  </pivotTables>
  <data>
    <tabular pivotCacheId="1470886414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 vendido" xr10:uid="{0F7CB773-221B-40FB-80D4-D67817ADB9AF}" cache="SegmentaciónDeDatos_Producto_vendido" caption="Filtro" style="SlicerStyleDark3" rowHeight="247650"/>
  <slicer name="Empleado" xr10:uid="{10B914BC-380C-475A-8DAE-62CC8ACDEB24}" cache="SegmentaciónDeDatos_Empleado" caption="Empleado" style="SlicerStyleDark3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9CB40E-637C-4EED-BF16-5CD1801EF364}" name="Tabla10" displayName="Tabla10" ref="A4:G12" headerRowDxfId="144" dataDxfId="143" tableBorderDxfId="142">
  <autoFilter ref="A4:G12" xr:uid="{1E9CB40E-637C-4EED-BF16-5CD1801EF3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A0C5F9E-EDE7-4A50-A433-36E1FA51A523}" name="Empleado" totalsRowLabel="Total" dataDxfId="141" totalsRowDxfId="140"/>
    <tableColumn id="2" xr3:uid="{426F70E9-A6F9-46F9-8A68-D8ECBCBAF000}" name="Fecha" dataDxfId="139" totalsRowDxfId="138"/>
    <tableColumn id="3" xr3:uid="{31DC4F5E-9FE8-40C9-8F33-CC71F356B4AC}" name="Producto vendido" dataDxfId="137" totalsRowDxfId="136"/>
    <tableColumn id="4" xr3:uid="{2F5A2431-8253-409E-BBA0-B2DF732F385F}" name="# de ventas" dataDxfId="135" totalsRowDxfId="134"/>
    <tableColumn id="5" xr3:uid="{A65626DA-5404-49E5-BFA6-9B8EF9CDCC09}" name="Precio unitario" dataDxfId="133" totalsRowDxfId="132"/>
    <tableColumn id="6" xr3:uid="{7EFD6B7E-8E28-4DAC-A9C7-E96734C12D2B}" name="Total de venta" dataDxfId="131" totalsRowDxfId="130"/>
    <tableColumn id="7" xr3:uid="{1ED6A562-D99A-4729-BC81-D06FCB4B4842}" name="Cliente(Opcional)" totalsRowFunction="count" dataDxfId="129" totalsRowDxfId="128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7CAB310-E4D8-4186-808E-FC5B21CD199C}" name="Tabla8" displayName="Tabla8" ref="A8:V9" headerRowCount="0" totalsRowShown="0" headerRowDxfId="127" headerRowBorderDxfId="126" tableBorderDxfId="125" totalsRowBorderDxfId="124">
  <tableColumns count="22">
    <tableColumn id="1" xr3:uid="{373CCE41-ABF1-4980-9840-6C0910D85FE1}" name="Nombres" headerRowDxfId="123" dataDxfId="122"/>
    <tableColumn id="2" xr3:uid="{2CF44650-E37B-47A7-9E66-A37075E461A9}" name="Lu" headerRowDxfId="121" dataDxfId="120"/>
    <tableColumn id="3" xr3:uid="{A8E7ACBD-0AD2-4F3A-863E-D442C623165C}" name="Ma" headerRowDxfId="119" dataDxfId="118"/>
    <tableColumn id="4" xr3:uid="{F7AE19ED-2701-421A-B1D8-CDA4FE3C3479}" name="Mi" headerRowDxfId="117" dataDxfId="116"/>
    <tableColumn id="5" xr3:uid="{832123A0-DE81-4B33-94CE-3EAE75E29B73}" name="Ju" headerRowDxfId="115" dataDxfId="114"/>
    <tableColumn id="6" xr3:uid="{7FAC33B2-8FFB-47CB-BFD1-BFCAFD688347}" name="Vi" headerRowDxfId="113" dataDxfId="112"/>
    <tableColumn id="7" xr3:uid="{15103617-8388-42C1-9EC1-94BB5D88271B}" name="Columna1" headerRowDxfId="111" dataDxfId="110"/>
    <tableColumn id="8" xr3:uid="{29C7712C-7F9F-4061-897D-709FA572B0E1}" name="Columna2" headerRowDxfId="109" dataDxfId="108"/>
    <tableColumn id="9" xr3:uid="{95ACA8EB-EA17-46D8-A0E4-A2E32E95E174}" name="Columna3" headerRowDxfId="107" dataDxfId="106"/>
    <tableColumn id="10" xr3:uid="{D5DE240D-501D-43B7-B0B9-0C0160A52C85}" name="Columna4" headerRowDxfId="105" dataDxfId="104"/>
    <tableColumn id="11" xr3:uid="{C0BAE3C2-3841-4C48-9637-B8A3C4596C41}" name="Columna5" headerRowDxfId="103" dataDxfId="102"/>
    <tableColumn id="12" xr3:uid="{3DBCC524-940F-47A3-9C6D-AD4306FC432B}" name="Columna6" headerRowDxfId="101" dataDxfId="100"/>
    <tableColumn id="13" xr3:uid="{E70CF5F8-14C7-4674-B0EC-949FFE3F95C8}" name="Columna7" headerRowDxfId="99" dataDxfId="98"/>
    <tableColumn id="14" xr3:uid="{8635111A-98DB-458E-B17F-F095D7F1B3DB}" name="Columna8" headerRowDxfId="97" dataDxfId="96"/>
    <tableColumn id="15" xr3:uid="{B7E32F81-C48C-469B-97FF-A0DBB17632F1}" name="Columna9" headerRowDxfId="95" dataDxfId="94"/>
    <tableColumn id="16" xr3:uid="{79D4FE4D-D3CF-4334-9576-81097E4C65AC}" name="Columna10" headerRowDxfId="93" dataDxfId="92"/>
    <tableColumn id="17" xr3:uid="{E4B9B83C-3600-45FF-8531-3210053BAE58}" name="Columna11" headerRowDxfId="91" dataDxfId="90"/>
    <tableColumn id="18" xr3:uid="{D5C9D11B-4BB2-4131-B5B6-F1D7EEFBF423}" name="Columna12" headerRowDxfId="89" dataDxfId="88"/>
    <tableColumn id="19" xr3:uid="{08849CFE-C950-457A-BCBD-778FEDDD1429}" name="Columna13" headerRowDxfId="87" dataDxfId="86"/>
    <tableColumn id="20" xr3:uid="{6DF328F4-9DD6-432D-82C6-0B2FFEA6A086}" name="Columna14" headerRowDxfId="85" dataDxfId="84"/>
    <tableColumn id="21" xr3:uid="{B14FF155-940D-45DD-B115-6658428C219C}" name="Columna15" headerRowDxfId="83" dataDxfId="82"/>
    <tableColumn id="27" xr3:uid="{38537455-EC44-41D4-A27C-7B45C28AA948}" name="Columna16" headerRowDxfId="81" dataDxfId="80">
      <calculatedColumnFormula array="1">(SUM(--(Tabla8[[#This Row],[Lu]:[Columna15]]=TRUE))/COUNTA(Tabla8[[#This Row],[Lu]:[Columna15]]))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96F7D88-EAE6-43BA-A515-0E60E755FA65}" name="tablaProducto" displayName="tablaProducto" ref="A3:E7" insertRowShift="1" totalsRowShown="0" headerRowDxfId="79" dataDxfId="77" headerRowBorderDxfId="78" tableBorderDxfId="76">
  <autoFilter ref="A3:E7" xr:uid="{496F7D88-EAE6-43BA-A515-0E60E755FA6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1CF4A58-D490-4063-ABC4-3A75565BF3AD}" name="Producto" dataDxfId="75"/>
    <tableColumn id="2" xr3:uid="{51728F30-6A21-4E02-BF02-C15EFBCD5CAD}" name="Precio" dataDxfId="74"/>
    <tableColumn id="5" xr3:uid="{485D9126-3BE7-4D38-8124-6720F2130F5A}" name="Fecha" dataDxfId="73"/>
    <tableColumn id="3" xr3:uid="{60897D29-512B-4679-8F8D-534EE7A7AADB}" name="Cantidad inicial" dataDxfId="72"/>
    <tableColumn id="4" xr3:uid="{2483F777-36EA-44BC-882A-8A5F85F2F732}" name="Cantidad restante" dataDxfId="45">
      <calculatedColumnFormula>IFERROR(SUMIF(tablaProducto[Producto],A4,tablaProducto[Cantidad inicial]) - SUMIF(Tabla10[Producto vendido],A4,Tabla10['# de ventas]),
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C3FD6-D561-43A6-A745-77C223A983BC}">
  <sheetPr codeName="Hoja1">
    <pageSetUpPr autoPageBreaks="0"/>
  </sheetPr>
  <dimension ref="A1:O1821"/>
  <sheetViews>
    <sheetView showGridLines="0" zoomScale="87" zoomScaleNormal="87" zoomScalePageLayoutView="54" workbookViewId="0">
      <selection activeCell="E19" sqref="E19"/>
    </sheetView>
  </sheetViews>
  <sheetFormatPr baseColWidth="10" defaultColWidth="10.77734375" defaultRowHeight="18"/>
  <cols>
    <col min="1" max="1" width="31.109375" style="9" bestFit="1" customWidth="1"/>
    <col min="2" max="2" width="13.88671875" style="19" bestFit="1" customWidth="1"/>
    <col min="3" max="3" width="21.6640625" style="18" customWidth="1"/>
    <col min="4" max="4" width="14.88671875" style="18" customWidth="1"/>
    <col min="5" max="5" width="18.5546875" style="9" customWidth="1"/>
    <col min="6" max="6" width="22" style="7" customWidth="1"/>
    <col min="7" max="7" width="21.6640625" style="50" customWidth="1"/>
    <col min="8" max="9" width="5.77734375" customWidth="1"/>
    <col min="10" max="10" width="5.77734375" style="9" customWidth="1"/>
    <col min="11" max="11" width="21.109375" style="9" bestFit="1" customWidth="1"/>
    <col min="12" max="12" width="34" style="10" customWidth="1"/>
    <col min="13" max="13" width="14.5546875" style="9" bestFit="1" customWidth="1"/>
    <col min="14" max="16384" width="10.77734375" style="9"/>
  </cols>
  <sheetData>
    <row r="1" spans="1:15" ht="18" customHeight="1">
      <c r="H1" s="29" t="s">
        <v>24</v>
      </c>
      <c r="J1" s="5" t="s">
        <v>19</v>
      </c>
      <c r="M1" s="21"/>
    </row>
    <row r="2" spans="1:15" ht="18" customHeight="1">
      <c r="A2" s="82" t="s">
        <v>3</v>
      </c>
      <c r="B2" s="82"/>
      <c r="C2" s="82"/>
      <c r="D2" s="82"/>
      <c r="E2" s="82"/>
      <c r="F2" s="82"/>
      <c r="G2" s="82"/>
      <c r="H2" s="29"/>
      <c r="I2" s="6"/>
      <c r="J2" s="5" t="s">
        <v>20</v>
      </c>
      <c r="K2" s="82" t="s">
        <v>9</v>
      </c>
      <c r="L2" s="82"/>
    </row>
    <row r="3" spans="1:15" ht="18" customHeight="1">
      <c r="A3" s="82"/>
      <c r="B3" s="82"/>
      <c r="C3" s="82"/>
      <c r="D3" s="82"/>
      <c r="E3" s="82"/>
      <c r="F3" s="82"/>
      <c r="G3" s="82"/>
      <c r="I3" s="6"/>
      <c r="J3" s="6"/>
      <c r="K3" s="82"/>
      <c r="L3" s="82"/>
    </row>
    <row r="4" spans="1:15" ht="18" customHeight="1">
      <c r="A4" s="66" t="s">
        <v>0</v>
      </c>
      <c r="B4" s="59" t="s">
        <v>13</v>
      </c>
      <c r="C4" s="56" t="s">
        <v>6</v>
      </c>
      <c r="D4" s="56" t="s">
        <v>14</v>
      </c>
      <c r="E4" s="56" t="s">
        <v>8</v>
      </c>
      <c r="F4" s="56" t="s">
        <v>10</v>
      </c>
      <c r="G4" s="56" t="s">
        <v>11</v>
      </c>
      <c r="I4" s="22"/>
      <c r="J4" s="20"/>
      <c r="K4" s="30" t="s">
        <v>0</v>
      </c>
      <c r="L4" s="78"/>
      <c r="M4" s="20"/>
      <c r="O4" s="20"/>
    </row>
    <row r="5" spans="1:15" ht="18" customHeight="1">
      <c r="A5" s="67" t="s">
        <v>36</v>
      </c>
      <c r="B5" s="74">
        <v>45933</v>
      </c>
      <c r="C5" s="75" t="s">
        <v>37</v>
      </c>
      <c r="D5" s="75">
        <v>10</v>
      </c>
      <c r="E5" s="76">
        <v>200000</v>
      </c>
      <c r="F5" s="76">
        <v>2000000</v>
      </c>
      <c r="G5" s="77" t="s">
        <v>21</v>
      </c>
      <c r="I5" s="22"/>
      <c r="J5" s="22"/>
      <c r="K5" s="31" t="s">
        <v>5</v>
      </c>
      <c r="L5" s="57">
        <f ca="1">TODAY()</f>
        <v>45933</v>
      </c>
    </row>
    <row r="6" spans="1:15" s="10" customFormat="1" ht="18" customHeight="1">
      <c r="A6" s="67" t="s">
        <v>36</v>
      </c>
      <c r="B6" s="74">
        <v>45933</v>
      </c>
      <c r="C6" s="75" t="s">
        <v>35</v>
      </c>
      <c r="D6" s="75">
        <v>7</v>
      </c>
      <c r="E6" s="76">
        <v>7000000</v>
      </c>
      <c r="F6" s="76">
        <v>49000000</v>
      </c>
      <c r="G6" s="77" t="s">
        <v>21</v>
      </c>
      <c r="I6" s="22"/>
      <c r="J6" s="22"/>
      <c r="K6" s="30" t="s">
        <v>6</v>
      </c>
      <c r="L6" s="78"/>
      <c r="M6" s="69"/>
    </row>
    <row r="7" spans="1:15" s="8" customFormat="1" ht="18" customHeight="1">
      <c r="A7" s="67" t="s">
        <v>36</v>
      </c>
      <c r="B7" s="74">
        <v>45933</v>
      </c>
      <c r="C7" s="75" t="s">
        <v>18</v>
      </c>
      <c r="D7" s="75">
        <v>20</v>
      </c>
      <c r="E7" s="76">
        <v>250000</v>
      </c>
      <c r="F7" s="76">
        <v>5000000</v>
      </c>
      <c r="G7" s="77" t="s">
        <v>21</v>
      </c>
      <c r="H7"/>
      <c r="I7" s="22"/>
      <c r="J7" s="22"/>
      <c r="K7" s="30" t="s">
        <v>4</v>
      </c>
      <c r="L7" s="78"/>
      <c r="M7" s="70" t="str">
        <f>IFERROR(_xlfn.XLOOKUP(L6,tablaProducto[Producto],tablaProducto[Cantidad restante]),"")</f>
        <v/>
      </c>
    </row>
    <row r="8" spans="1:15" s="8" customFormat="1" ht="18" customHeight="1">
      <c r="A8" s="67" t="s">
        <v>39</v>
      </c>
      <c r="B8" s="74">
        <v>45933</v>
      </c>
      <c r="C8" s="75" t="s">
        <v>37</v>
      </c>
      <c r="D8" s="75">
        <v>40</v>
      </c>
      <c r="E8" s="76">
        <v>200000</v>
      </c>
      <c r="F8" s="76">
        <v>8000000</v>
      </c>
      <c r="G8" s="77" t="s">
        <v>21</v>
      </c>
      <c r="H8"/>
      <c r="I8"/>
      <c r="J8"/>
      <c r="K8" s="30" t="s">
        <v>8</v>
      </c>
      <c r="L8" s="58" t="str" cm="1">
        <f t="array" ref="L8">IFERROR(MAX(_xlfn._xlws.FILTER(tablaProducto[Precio],tablaProducto[Producto]='Registro de ventas'!L6)), "PRODUCTO NO ENCONTRADO")</f>
        <v>PRODUCTO NO ENCONTRADO</v>
      </c>
      <c r="M8" s="70" t="b">
        <f>IFERROR((L7&lt;=M7),"")</f>
        <v>1</v>
      </c>
    </row>
    <row r="9" spans="1:15" s="11" customFormat="1" ht="18" customHeight="1">
      <c r="A9" s="67" t="s">
        <v>36</v>
      </c>
      <c r="B9" s="74">
        <v>45933</v>
      </c>
      <c r="C9" s="75" t="s">
        <v>38</v>
      </c>
      <c r="D9" s="75">
        <v>2</v>
      </c>
      <c r="E9" s="76">
        <v>5000000</v>
      </c>
      <c r="F9" s="76">
        <v>10000000</v>
      </c>
      <c r="G9" s="77" t="s">
        <v>21</v>
      </c>
      <c r="H9"/>
      <c r="I9"/>
      <c r="J9"/>
      <c r="K9" s="30" t="s">
        <v>15</v>
      </c>
      <c r="L9" s="79" t="str">
        <f>IFERROR(L7*L8,"")</f>
        <v/>
      </c>
      <c r="M9" s="71"/>
    </row>
    <row r="10" spans="1:15" s="7" customFormat="1" ht="18" customHeight="1">
      <c r="A10" s="67" t="s">
        <v>39</v>
      </c>
      <c r="B10" s="74">
        <v>45933</v>
      </c>
      <c r="C10" s="75" t="s">
        <v>38</v>
      </c>
      <c r="D10" s="75">
        <v>5</v>
      </c>
      <c r="E10" s="76">
        <v>5000000</v>
      </c>
      <c r="F10" s="76">
        <v>25000000</v>
      </c>
      <c r="G10" s="77" t="s">
        <v>21</v>
      </c>
      <c r="H10"/>
      <c r="I10"/>
      <c r="J10"/>
      <c r="K10" s="30" t="s">
        <v>11</v>
      </c>
      <c r="L10" s="78"/>
      <c r="M10" s="72"/>
    </row>
    <row r="11" spans="1:15" s="8" customFormat="1" ht="18" customHeight="1">
      <c r="A11" s="67" t="s">
        <v>36</v>
      </c>
      <c r="B11" s="74">
        <v>45932</v>
      </c>
      <c r="C11" s="75" t="s">
        <v>35</v>
      </c>
      <c r="D11" s="75">
        <v>3</v>
      </c>
      <c r="E11" s="76">
        <v>7000000</v>
      </c>
      <c r="F11" s="76">
        <v>21000000</v>
      </c>
      <c r="G11" s="77" t="s">
        <v>21</v>
      </c>
      <c r="H11"/>
      <c r="J11" s="60" t="str">
        <f>IF(ISBLANK(L10),"NO ESPECIFICADO",L10)</f>
        <v>NO ESPECIFICADO</v>
      </c>
      <c r="L11" s="80" t="str">
        <f>IF(L10="", "NO ESPECIFICADO", L10)</f>
        <v>NO ESPECIFICADO</v>
      </c>
      <c r="M11" s="73"/>
    </row>
    <row r="12" spans="1:15" s="8" customFormat="1" ht="18" customHeight="1">
      <c r="A12" s="67" t="s">
        <v>39</v>
      </c>
      <c r="B12" s="74">
        <v>45932</v>
      </c>
      <c r="C12" s="75" t="s">
        <v>38</v>
      </c>
      <c r="D12" s="75">
        <v>3</v>
      </c>
      <c r="E12" s="76">
        <v>5000000</v>
      </c>
      <c r="F12" s="76">
        <v>15000000</v>
      </c>
      <c r="G12" s="77" t="s">
        <v>21</v>
      </c>
      <c r="H12"/>
      <c r="J12" s="61"/>
    </row>
    <row r="13" spans="1:15" s="8" customFormat="1" ht="18" customHeight="1">
      <c r="A13"/>
      <c r="B13"/>
      <c r="C13"/>
      <c r="D13"/>
      <c r="E13"/>
      <c r="F13" s="10"/>
      <c r="G13" s="51"/>
      <c r="I13" s="61"/>
    </row>
    <row r="14" spans="1:15" s="8" customFormat="1" ht="18" customHeight="1">
      <c r="A14"/>
      <c r="B14"/>
      <c r="C14"/>
      <c r="D14" s="10"/>
      <c r="E14" s="51"/>
      <c r="F14"/>
      <c r="G14"/>
      <c r="H14"/>
      <c r="I14" s="10"/>
    </row>
    <row r="15" spans="1:15" s="8" customFormat="1" ht="18" customHeight="1">
      <c r="A15"/>
      <c r="B15"/>
      <c r="C15"/>
      <c r="D15" s="10"/>
      <c r="E15" s="51"/>
      <c r="F15"/>
      <c r="G15"/>
      <c r="H15"/>
      <c r="I15" s="61"/>
    </row>
    <row r="16" spans="1:15" s="8" customFormat="1" ht="18" customHeight="1">
      <c r="A16"/>
      <c r="B16"/>
      <c r="C16" s="10"/>
      <c r="D16" s="51"/>
      <c r="E16"/>
      <c r="F16"/>
      <c r="G16"/>
      <c r="H16"/>
      <c r="I16" s="61"/>
    </row>
    <row r="17" spans="1:13" s="8" customFormat="1" ht="21" customHeight="1">
      <c r="A17"/>
      <c r="B17"/>
      <c r="C17" s="10"/>
      <c r="D17" s="51"/>
      <c r="E17"/>
      <c r="F17"/>
      <c r="G17"/>
      <c r="H17"/>
      <c r="I17" s="1"/>
      <c r="J17" s="1"/>
      <c r="K17"/>
      <c r="L17" s="10"/>
    </row>
    <row r="18" spans="1:13" s="8" customFormat="1" ht="21" customHeight="1">
      <c r="A18"/>
      <c r="B18"/>
      <c r="C18" s="10"/>
      <c r="D18" s="51"/>
      <c r="E18"/>
      <c r="F18"/>
      <c r="G18"/>
      <c r="H18"/>
      <c r="I18" s="1"/>
      <c r="J18" s="7"/>
      <c r="K18"/>
      <c r="L18" s="61"/>
    </row>
    <row r="19" spans="1:13" s="8" customFormat="1">
      <c r="A19"/>
      <c r="B19"/>
      <c r="C19" s="10"/>
      <c r="D19" s="51"/>
      <c r="E19"/>
      <c r="F19"/>
      <c r="G19"/>
      <c r="H19"/>
      <c r="I19"/>
      <c r="K19"/>
      <c r="L19" s="62"/>
    </row>
    <row r="20" spans="1:13" s="7" customFormat="1">
      <c r="A20"/>
      <c r="B20"/>
      <c r="C20"/>
      <c r="D20"/>
      <c r="E20"/>
      <c r="F20" s="10"/>
      <c r="G20" s="51"/>
      <c r="H20"/>
      <c r="I20"/>
      <c r="J20" s="8"/>
      <c r="L20" s="10"/>
      <c r="M20" s="8"/>
    </row>
    <row r="21" spans="1:13" s="7" customFormat="1">
      <c r="A21"/>
      <c r="B21"/>
      <c r="C21"/>
      <c r="D21"/>
      <c r="E21"/>
      <c r="F21" s="10"/>
      <c r="G21" s="51"/>
      <c r="H21"/>
      <c r="I21"/>
      <c r="J21" s="8"/>
      <c r="L21" s="61"/>
      <c r="M21" s="8"/>
    </row>
    <row r="22" spans="1:13" s="8" customFormat="1" ht="18" customHeight="1">
      <c r="A22"/>
      <c r="B22"/>
      <c r="C22"/>
      <c r="D22"/>
      <c r="E22"/>
      <c r="F22" s="10"/>
      <c r="G22" s="51"/>
      <c r="H22"/>
      <c r="I22"/>
      <c r="L22" s="61"/>
      <c r="M22" s="23"/>
    </row>
    <row r="23" spans="1:13" s="8" customFormat="1" ht="18" customHeight="1">
      <c r="A23"/>
      <c r="B23"/>
      <c r="C23"/>
      <c r="D23"/>
      <c r="E23"/>
      <c r="F23" s="10"/>
      <c r="G23" s="51"/>
      <c r="H23"/>
      <c r="I23"/>
      <c r="L23" s="61"/>
      <c r="M23"/>
    </row>
    <row r="24" spans="1:13" s="8" customFormat="1" ht="18" customHeight="1">
      <c r="A24"/>
      <c r="B24" s="7"/>
      <c r="C24" s="7"/>
      <c r="D24"/>
      <c r="E24"/>
      <c r="F24" s="10"/>
      <c r="G24" s="51"/>
      <c r="H24"/>
      <c r="I24"/>
      <c r="L24" s="61"/>
      <c r="M24"/>
    </row>
    <row r="25" spans="1:13" s="8" customFormat="1">
      <c r="A25"/>
      <c r="D25"/>
      <c r="E25"/>
      <c r="F25" s="10"/>
      <c r="G25" s="51"/>
      <c r="H25"/>
      <c r="I25"/>
      <c r="L25" s="10"/>
      <c r="M25"/>
    </row>
    <row r="26" spans="1:13" s="8" customFormat="1">
      <c r="A26"/>
      <c r="B26"/>
      <c r="C26"/>
      <c r="D26"/>
      <c r="E26"/>
      <c r="F26" s="10"/>
      <c r="G26" s="51"/>
      <c r="H26"/>
      <c r="I26"/>
      <c r="L26" s="10"/>
      <c r="M26"/>
    </row>
    <row r="27" spans="1:13" s="8" customFormat="1">
      <c r="A27"/>
      <c r="B27"/>
      <c r="C27"/>
      <c r="D27"/>
      <c r="E27"/>
      <c r="F27" s="10"/>
      <c r="G27" s="51"/>
      <c r="H27"/>
      <c r="I27"/>
      <c r="L27" s="10"/>
      <c r="M27"/>
    </row>
    <row r="28" spans="1:13" s="8" customFormat="1">
      <c r="A28"/>
      <c r="B28"/>
      <c r="C28"/>
      <c r="D28"/>
      <c r="E28"/>
      <c r="F28" s="10"/>
      <c r="G28" s="51"/>
      <c r="H28"/>
      <c r="I28"/>
      <c r="L28" s="10"/>
      <c r="M28"/>
    </row>
    <row r="29" spans="1:13" s="8" customFormat="1">
      <c r="A29"/>
      <c r="B29"/>
      <c r="C29"/>
      <c r="D29"/>
      <c r="E29"/>
      <c r="F29" s="10"/>
      <c r="G29" s="51"/>
      <c r="H29"/>
      <c r="I29"/>
      <c r="L29" s="10"/>
    </row>
    <row r="30" spans="1:13" s="8" customFormat="1">
      <c r="A30"/>
      <c r="B30"/>
      <c r="C30"/>
      <c r="D30"/>
      <c r="E30"/>
      <c r="F30" s="10"/>
      <c r="G30" s="51"/>
      <c r="H30"/>
      <c r="I30"/>
      <c r="L30" s="10"/>
    </row>
    <row r="31" spans="1:13" s="8" customFormat="1">
      <c r="A31"/>
      <c r="B31"/>
      <c r="C31"/>
      <c r="D31"/>
      <c r="E31"/>
      <c r="F31" s="10"/>
      <c r="G31" s="51"/>
      <c r="H31"/>
      <c r="I31"/>
      <c r="L31" s="10"/>
    </row>
    <row r="32" spans="1:13" s="8" customFormat="1">
      <c r="A32"/>
      <c r="B32"/>
      <c r="C32"/>
      <c r="D32"/>
      <c r="E32"/>
      <c r="F32" s="10"/>
      <c r="G32" s="51"/>
      <c r="H32"/>
      <c r="I32"/>
      <c r="L32" s="10"/>
    </row>
    <row r="33" spans="1:12" s="8" customFormat="1">
      <c r="A33"/>
      <c r="B33"/>
      <c r="C33"/>
      <c r="D33"/>
      <c r="E33"/>
      <c r="F33" s="10"/>
      <c r="G33" s="51"/>
      <c r="H33"/>
      <c r="I33"/>
      <c r="L33" s="10"/>
    </row>
    <row r="34" spans="1:12" s="8" customFormat="1">
      <c r="A34"/>
      <c r="B34"/>
      <c r="C34"/>
      <c r="D34"/>
      <c r="E34"/>
      <c r="F34" s="10"/>
      <c r="G34" s="51"/>
      <c r="H34"/>
      <c r="I34"/>
      <c r="L34" s="10"/>
    </row>
    <row r="35" spans="1:12" s="8" customFormat="1">
      <c r="A35"/>
      <c r="B35"/>
      <c r="C35"/>
      <c r="D35"/>
      <c r="E35"/>
      <c r="F35" s="10"/>
      <c r="G35" s="51"/>
      <c r="H35"/>
      <c r="I35"/>
      <c r="L35" s="10"/>
    </row>
    <row r="36" spans="1:12" s="8" customFormat="1">
      <c r="A36"/>
      <c r="B36"/>
      <c r="C36"/>
      <c r="D36"/>
      <c r="E36"/>
      <c r="F36" s="10"/>
      <c r="G36" s="51"/>
      <c r="H36"/>
      <c r="I36"/>
      <c r="L36" s="61"/>
    </row>
    <row r="37" spans="1:12" s="8" customFormat="1">
      <c r="A37"/>
      <c r="B37"/>
      <c r="C37"/>
      <c r="D37"/>
      <c r="E37"/>
      <c r="F37" s="10"/>
      <c r="G37" s="51"/>
      <c r="H37"/>
      <c r="I37"/>
      <c r="L37" s="61"/>
    </row>
    <row r="38" spans="1:12" s="8" customFormat="1">
      <c r="A38"/>
      <c r="B38"/>
      <c r="C38"/>
      <c r="D38"/>
      <c r="E38"/>
      <c r="F38" s="10"/>
      <c r="G38" s="51"/>
      <c r="H38"/>
      <c r="I38"/>
      <c r="L38" s="61"/>
    </row>
    <row r="39" spans="1:12" s="8" customFormat="1">
      <c r="A39"/>
      <c r="B39"/>
      <c r="C39"/>
      <c r="D39"/>
      <c r="E39"/>
      <c r="F39" s="10"/>
      <c r="G39" s="51"/>
      <c r="H39"/>
      <c r="I39"/>
      <c r="L39" s="61"/>
    </row>
    <row r="40" spans="1:12" s="8" customFormat="1">
      <c r="A40"/>
      <c r="B40"/>
      <c r="C40"/>
      <c r="D40"/>
      <c r="E40"/>
      <c r="F40" s="10"/>
      <c r="G40" s="51"/>
      <c r="H40"/>
      <c r="I40"/>
      <c r="L40" s="61"/>
    </row>
    <row r="41" spans="1:12" s="8" customFormat="1">
      <c r="A41"/>
      <c r="B41"/>
      <c r="C41"/>
      <c r="D41"/>
      <c r="E41"/>
      <c r="F41" s="10"/>
      <c r="G41" s="51"/>
      <c r="H41"/>
      <c r="I41"/>
      <c r="L41" s="61"/>
    </row>
    <row r="42" spans="1:12" s="8" customFormat="1">
      <c r="A42"/>
      <c r="B42"/>
      <c r="C42"/>
      <c r="D42"/>
      <c r="E42"/>
      <c r="F42" s="10"/>
      <c r="G42" s="51"/>
      <c r="H42"/>
      <c r="I42"/>
      <c r="L42" s="61"/>
    </row>
    <row r="43" spans="1:12" s="8" customFormat="1">
      <c r="A43"/>
      <c r="B43"/>
      <c r="C43"/>
      <c r="D43"/>
      <c r="E43"/>
      <c r="F43" s="10"/>
      <c r="G43" s="51"/>
      <c r="H43"/>
      <c r="I43"/>
      <c r="L43" s="61"/>
    </row>
    <row r="44" spans="1:12" s="8" customFormat="1">
      <c r="A44"/>
      <c r="B44"/>
      <c r="C44"/>
      <c r="D44"/>
      <c r="E44"/>
      <c r="F44" s="10"/>
      <c r="G44" s="51"/>
      <c r="H44"/>
      <c r="I44"/>
      <c r="L44" s="61"/>
    </row>
    <row r="45" spans="1:12" s="8" customFormat="1">
      <c r="A45"/>
      <c r="B45"/>
      <c r="C45"/>
      <c r="D45"/>
      <c r="E45"/>
      <c r="F45" s="10"/>
      <c r="G45" s="51"/>
      <c r="H45"/>
      <c r="I45"/>
      <c r="L45" s="61"/>
    </row>
    <row r="46" spans="1:12" s="8" customFormat="1">
      <c r="A46"/>
      <c r="B46"/>
      <c r="C46"/>
      <c r="D46"/>
      <c r="E46"/>
      <c r="F46" s="10"/>
      <c r="G46" s="51"/>
      <c r="H46"/>
      <c r="I46"/>
      <c r="L46" s="61"/>
    </row>
    <row r="47" spans="1:12" s="8" customFormat="1">
      <c r="A47"/>
      <c r="B47"/>
      <c r="C47"/>
      <c r="D47"/>
      <c r="E47"/>
      <c r="F47" s="10"/>
      <c r="G47" s="51"/>
      <c r="H47"/>
      <c r="I47"/>
      <c r="L47" s="61"/>
    </row>
    <row r="48" spans="1:12" s="8" customFormat="1">
      <c r="A48"/>
      <c r="B48"/>
      <c r="C48"/>
      <c r="D48"/>
      <c r="E48"/>
      <c r="F48" s="10"/>
      <c r="G48" s="51"/>
      <c r="H48"/>
      <c r="I48"/>
      <c r="L48" s="61"/>
    </row>
    <row r="49" spans="1:12" s="8" customFormat="1">
      <c r="A49"/>
      <c r="B49"/>
      <c r="C49"/>
      <c r="D49"/>
      <c r="E49"/>
      <c r="F49" s="10"/>
      <c r="G49" s="51"/>
      <c r="H49"/>
      <c r="I49"/>
      <c r="L49" s="10"/>
    </row>
    <row r="50" spans="1:12" s="8" customFormat="1">
      <c r="A50"/>
      <c r="B50"/>
      <c r="C50"/>
      <c r="D50"/>
      <c r="E50"/>
      <c r="F50" s="10"/>
      <c r="G50" s="51"/>
      <c r="H50"/>
      <c r="I50"/>
      <c r="L50" s="10"/>
    </row>
    <row r="51" spans="1:12" s="8" customFormat="1">
      <c r="A51"/>
      <c r="B51"/>
      <c r="C51"/>
      <c r="D51"/>
      <c r="E51"/>
      <c r="F51" s="10"/>
      <c r="G51" s="51"/>
      <c r="H51"/>
      <c r="I51"/>
      <c r="L51" s="10"/>
    </row>
    <row r="52" spans="1:12" s="8" customFormat="1">
      <c r="A52"/>
      <c r="B52"/>
      <c r="C52"/>
      <c r="D52"/>
      <c r="E52"/>
      <c r="F52" s="10"/>
      <c r="G52" s="51"/>
      <c r="H52"/>
      <c r="I52"/>
      <c r="L52" s="10"/>
    </row>
    <row r="53" spans="1:12" s="8" customFormat="1">
      <c r="A53"/>
      <c r="B53"/>
      <c r="C53"/>
      <c r="D53"/>
      <c r="E53"/>
      <c r="F53" s="10"/>
      <c r="G53" s="51"/>
      <c r="H53"/>
      <c r="I53"/>
      <c r="L53" s="10"/>
    </row>
    <row r="54" spans="1:12" s="8" customFormat="1">
      <c r="A54"/>
      <c r="D54"/>
      <c r="E54"/>
      <c r="F54" s="10"/>
      <c r="G54" s="51"/>
      <c r="H54"/>
      <c r="I54"/>
      <c r="L54" s="10"/>
    </row>
    <row r="55" spans="1:12" s="8" customFormat="1">
      <c r="B55" s="11"/>
      <c r="C55" s="11"/>
      <c r="D55"/>
      <c r="E55"/>
      <c r="G55" s="52"/>
      <c r="H55"/>
      <c r="I55"/>
      <c r="L55" s="10"/>
    </row>
    <row r="56" spans="1:12" s="8" customFormat="1">
      <c r="A56" s="11"/>
      <c r="B56" s="7"/>
      <c r="C56" s="7"/>
      <c r="D56"/>
      <c r="E56"/>
      <c r="G56" s="52"/>
      <c r="H56"/>
      <c r="I56"/>
      <c r="L56" s="10"/>
    </row>
    <row r="57" spans="1:12" s="8" customFormat="1">
      <c r="A57" s="7"/>
      <c r="D57"/>
      <c r="E57"/>
      <c r="F57"/>
      <c r="G57" s="49"/>
      <c r="H57"/>
      <c r="I57"/>
      <c r="L57" s="10"/>
    </row>
    <row r="58" spans="1:12" s="8" customFormat="1">
      <c r="D58"/>
      <c r="E58"/>
      <c r="F58"/>
      <c r="G58" s="49"/>
      <c r="H58"/>
      <c r="I58"/>
      <c r="L58" s="10"/>
    </row>
    <row r="59" spans="1:12" s="8" customFormat="1">
      <c r="E59"/>
      <c r="F59"/>
      <c r="G59" s="49"/>
      <c r="H59"/>
      <c r="I59"/>
      <c r="L59" s="10"/>
    </row>
    <row r="60" spans="1:12" s="8" customFormat="1">
      <c r="E60"/>
      <c r="F60"/>
      <c r="G60" s="49"/>
      <c r="H60"/>
      <c r="I60"/>
      <c r="L60" s="10"/>
    </row>
    <row r="61" spans="1:12" s="8" customFormat="1">
      <c r="E61"/>
      <c r="F61"/>
      <c r="G61" s="49"/>
      <c r="H61"/>
      <c r="I61"/>
      <c r="L61" s="10"/>
    </row>
    <row r="62" spans="1:12" s="8" customFormat="1">
      <c r="E62"/>
      <c r="F62"/>
      <c r="G62" s="49"/>
      <c r="H62"/>
      <c r="I62"/>
      <c r="L62" s="10"/>
    </row>
    <row r="63" spans="1:12" s="8" customFormat="1">
      <c r="F63"/>
      <c r="G63" s="49"/>
      <c r="H63"/>
      <c r="I63"/>
      <c r="L63" s="10"/>
    </row>
    <row r="64" spans="1:12" s="8" customFormat="1">
      <c r="D64"/>
      <c r="F64"/>
      <c r="G64" s="49"/>
      <c r="H64"/>
      <c r="I64"/>
      <c r="L64" s="10"/>
    </row>
    <row r="65" spans="1:12" s="8" customFormat="1">
      <c r="D65"/>
      <c r="F65"/>
      <c r="G65" s="49"/>
      <c r="H65"/>
      <c r="I65"/>
      <c r="L65" s="10"/>
    </row>
    <row r="66" spans="1:12" s="8" customFormat="1">
      <c r="B66" s="7"/>
      <c r="C66" s="7"/>
      <c r="D66"/>
      <c r="F66"/>
      <c r="G66" s="52"/>
      <c r="H66"/>
      <c r="I66"/>
      <c r="L66" s="10"/>
    </row>
    <row r="67" spans="1:12" s="8" customFormat="1">
      <c r="A67" s="7"/>
      <c r="B67" s="7"/>
      <c r="C67" s="7"/>
      <c r="D67"/>
      <c r="E67" s="7"/>
      <c r="G67" s="52"/>
      <c r="H67"/>
      <c r="I67"/>
      <c r="L67" s="10"/>
    </row>
    <row r="68" spans="1:12" s="8" customFormat="1">
      <c r="A68" s="7"/>
      <c r="D68" s="1"/>
      <c r="E68" s="7"/>
      <c r="G68" s="52"/>
      <c r="H68"/>
      <c r="I68"/>
      <c r="L68" s="10"/>
    </row>
    <row r="69" spans="1:12" s="8" customFormat="1">
      <c r="C69"/>
      <c r="D69" s="1"/>
      <c r="G69" s="52"/>
      <c r="H69"/>
      <c r="I69"/>
      <c r="L69" s="10"/>
    </row>
    <row r="70" spans="1:12" s="8" customFormat="1">
      <c r="C70"/>
      <c r="D70"/>
      <c r="G70" s="52"/>
      <c r="H70"/>
      <c r="I70"/>
      <c r="L70" s="10"/>
    </row>
    <row r="71" spans="1:12" s="8" customFormat="1">
      <c r="C71"/>
      <c r="D71"/>
      <c r="G71" s="52"/>
      <c r="H71"/>
      <c r="I71"/>
      <c r="L71" s="10"/>
    </row>
    <row r="72" spans="1:12" s="8" customFormat="1">
      <c r="B72"/>
      <c r="C72"/>
      <c r="D72"/>
      <c r="G72" s="53"/>
      <c r="H72"/>
      <c r="I72"/>
      <c r="L72" s="10"/>
    </row>
    <row r="73" spans="1:12" s="8" customFormat="1">
      <c r="A73"/>
      <c r="B73"/>
      <c r="C73"/>
      <c r="D73"/>
      <c r="F73" s="7"/>
      <c r="G73" s="54"/>
      <c r="H73"/>
      <c r="I73"/>
      <c r="L73" s="10"/>
    </row>
    <row r="74" spans="1:12" s="8" customFormat="1">
      <c r="A74"/>
      <c r="B74"/>
      <c r="C74"/>
      <c r="D74"/>
      <c r="F74" s="1"/>
      <c r="G74" s="49"/>
      <c r="H74"/>
      <c r="I74"/>
      <c r="L74" s="10"/>
    </row>
    <row r="75" spans="1:12" s="8" customFormat="1">
      <c r="A75"/>
      <c r="B75"/>
      <c r="C75"/>
      <c r="D75"/>
      <c r="F75" s="12"/>
      <c r="G75" s="49"/>
      <c r="H75"/>
      <c r="I75"/>
      <c r="L75" s="10"/>
    </row>
    <row r="76" spans="1:12" s="8" customFormat="1">
      <c r="A76"/>
      <c r="B76"/>
      <c r="C76"/>
      <c r="D76"/>
      <c r="F76" s="12"/>
      <c r="G76" s="49"/>
      <c r="H76"/>
      <c r="I76"/>
      <c r="L76" s="10"/>
    </row>
    <row r="77" spans="1:12" s="8" customFormat="1">
      <c r="A77"/>
      <c r="B77"/>
      <c r="C77"/>
      <c r="D77"/>
      <c r="F77" s="12"/>
      <c r="G77" s="49"/>
      <c r="H77"/>
      <c r="I77"/>
      <c r="L77" s="10"/>
    </row>
    <row r="78" spans="1:12" s="8" customFormat="1">
      <c r="A78"/>
      <c r="B78"/>
      <c r="C78"/>
      <c r="D78"/>
      <c r="F78" s="12"/>
      <c r="G78" s="49"/>
      <c r="H78"/>
      <c r="I78"/>
      <c r="L78" s="10"/>
    </row>
    <row r="79" spans="1:12" s="8" customFormat="1">
      <c r="A79"/>
      <c r="B79"/>
      <c r="C79"/>
      <c r="D79"/>
      <c r="F79" s="12"/>
      <c r="G79" s="49"/>
      <c r="H79"/>
      <c r="I79"/>
      <c r="L79" s="10"/>
    </row>
    <row r="80" spans="1:12" s="8" customFormat="1">
      <c r="A80"/>
      <c r="B80"/>
      <c r="C80"/>
      <c r="D80"/>
      <c r="F80" s="12"/>
      <c r="G80" s="49"/>
      <c r="H80"/>
      <c r="I80"/>
      <c r="L80" s="10"/>
    </row>
    <row r="81" spans="1:12" s="8" customFormat="1">
      <c r="A81"/>
      <c r="B81"/>
      <c r="C81"/>
      <c r="D81"/>
      <c r="F81" s="12"/>
      <c r="G81" s="49"/>
      <c r="H81"/>
      <c r="I81"/>
      <c r="L81" s="10"/>
    </row>
    <row r="82" spans="1:12" s="8" customFormat="1">
      <c r="A82"/>
      <c r="B82"/>
      <c r="C82"/>
      <c r="D82"/>
      <c r="F82" s="12"/>
      <c r="G82" s="49"/>
      <c r="H82"/>
      <c r="I82"/>
      <c r="L82" s="10"/>
    </row>
    <row r="83" spans="1:12" s="8" customFormat="1">
      <c r="A83"/>
      <c r="B83"/>
      <c r="C83"/>
      <c r="D83"/>
      <c r="F83" s="12"/>
      <c r="G83" s="49"/>
      <c r="H83"/>
      <c r="I83"/>
      <c r="L83" s="10"/>
    </row>
    <row r="84" spans="1:12" s="8" customFormat="1">
      <c r="A84"/>
      <c r="B84"/>
      <c r="C84"/>
      <c r="D84"/>
      <c r="F84" s="12"/>
      <c r="G84" s="49"/>
      <c r="H84"/>
      <c r="I84"/>
      <c r="L84" s="10"/>
    </row>
    <row r="85" spans="1:12" s="8" customFormat="1">
      <c r="A85"/>
      <c r="B85"/>
      <c r="C85"/>
      <c r="D85"/>
      <c r="F85" s="12"/>
      <c r="G85" s="49"/>
      <c r="H85"/>
      <c r="I85"/>
      <c r="L85" s="10"/>
    </row>
    <row r="86" spans="1:12" s="8" customFormat="1">
      <c r="A86"/>
      <c r="B86"/>
      <c r="C86"/>
      <c r="D86"/>
      <c r="F86" s="12"/>
      <c r="G86" s="49"/>
      <c r="H86"/>
      <c r="I86"/>
      <c r="L86" s="10"/>
    </row>
    <row r="87" spans="1:12" s="8" customFormat="1">
      <c r="A87"/>
      <c r="B87"/>
      <c r="C87"/>
      <c r="D87"/>
      <c r="F87" s="12"/>
      <c r="G87" s="49"/>
      <c r="H87"/>
      <c r="I87"/>
      <c r="L87" s="10"/>
    </row>
    <row r="88" spans="1:12" s="8" customFormat="1">
      <c r="A88"/>
      <c r="B88"/>
      <c r="C88"/>
      <c r="D88" s="9"/>
      <c r="F88" s="12"/>
      <c r="G88" s="49"/>
      <c r="H88"/>
      <c r="I88"/>
      <c r="L88" s="10"/>
    </row>
    <row r="89" spans="1:12" s="8" customFormat="1">
      <c r="A89"/>
      <c r="B89"/>
      <c r="C89"/>
      <c r="D89"/>
      <c r="F89" s="12"/>
      <c r="G89" s="49"/>
      <c r="H89"/>
      <c r="I89"/>
      <c r="L89" s="10"/>
    </row>
    <row r="90" spans="1:12" s="8" customFormat="1">
      <c r="A90"/>
      <c r="B90"/>
      <c r="C90"/>
      <c r="D90"/>
      <c r="F90" s="12"/>
      <c r="G90" s="49"/>
      <c r="H90"/>
      <c r="I90"/>
      <c r="L90" s="10"/>
    </row>
    <row r="91" spans="1:12" s="8" customFormat="1">
      <c r="A91"/>
      <c r="B91"/>
      <c r="C91"/>
      <c r="D91"/>
      <c r="F91" s="12"/>
      <c r="G91" s="49"/>
      <c r="H91"/>
      <c r="I91"/>
      <c r="L91" s="10"/>
    </row>
    <row r="92" spans="1:12" s="8" customFormat="1">
      <c r="A92"/>
      <c r="B92"/>
      <c r="C92"/>
      <c r="D92"/>
      <c r="F92" s="12"/>
      <c r="G92" s="49"/>
      <c r="H92"/>
      <c r="I92"/>
      <c r="L92" s="10"/>
    </row>
    <row r="93" spans="1:12" s="8" customFormat="1">
      <c r="A93"/>
      <c r="B93"/>
      <c r="C93" s="9"/>
      <c r="D93"/>
      <c r="F93" s="12"/>
      <c r="G93" s="49"/>
      <c r="H93"/>
      <c r="I93"/>
      <c r="L93" s="10"/>
    </row>
    <row r="94" spans="1:12" s="8" customFormat="1">
      <c r="A94"/>
      <c r="B94"/>
      <c r="C94"/>
      <c r="D94"/>
      <c r="F94" s="12"/>
      <c r="G94" s="49"/>
      <c r="H94"/>
      <c r="I94"/>
      <c r="L94" s="10"/>
    </row>
    <row r="95" spans="1:12" s="8" customFormat="1">
      <c r="A95"/>
      <c r="B95"/>
      <c r="C95"/>
      <c r="D95"/>
      <c r="F95" s="12"/>
      <c r="G95" s="49"/>
      <c r="H95"/>
      <c r="I95"/>
      <c r="L95" s="10"/>
    </row>
    <row r="96" spans="1:12" s="8" customFormat="1">
      <c r="A96"/>
      <c r="B96" s="9"/>
      <c r="C96"/>
      <c r="D96"/>
      <c r="F96" s="12"/>
      <c r="G96" s="49"/>
      <c r="H96"/>
      <c r="I96"/>
      <c r="L96" s="10"/>
    </row>
    <row r="97" spans="1:12" s="8" customFormat="1">
      <c r="A97"/>
      <c r="B97"/>
      <c r="C97"/>
      <c r="D97"/>
      <c r="F97" s="12"/>
      <c r="G97" s="49"/>
      <c r="H97"/>
      <c r="I97"/>
      <c r="L97" s="10"/>
    </row>
    <row r="98" spans="1:12" s="8" customFormat="1">
      <c r="A98"/>
      <c r="B98"/>
      <c r="C98"/>
      <c r="D98"/>
      <c r="F98" s="12"/>
      <c r="G98" s="49"/>
      <c r="H98"/>
      <c r="I98"/>
      <c r="L98" s="10"/>
    </row>
    <row r="99" spans="1:12" s="8" customFormat="1">
      <c r="A99"/>
      <c r="B99"/>
      <c r="C99"/>
      <c r="D99"/>
      <c r="F99" s="12"/>
      <c r="G99" s="49"/>
      <c r="H99"/>
      <c r="I99"/>
      <c r="L99" s="10"/>
    </row>
    <row r="100" spans="1:12" s="8" customFormat="1">
      <c r="A100"/>
      <c r="B100"/>
      <c r="C100"/>
      <c r="D100"/>
      <c r="F100" s="12"/>
      <c r="G100" s="49"/>
      <c r="H100"/>
      <c r="I100"/>
      <c r="L100" s="10"/>
    </row>
    <row r="101" spans="1:12" s="8" customFormat="1">
      <c r="A101"/>
      <c r="B101"/>
      <c r="C101"/>
      <c r="D101"/>
      <c r="F101" s="12"/>
      <c r="G101" s="49"/>
      <c r="H101"/>
      <c r="I101"/>
      <c r="L101" s="10"/>
    </row>
    <row r="102" spans="1:12" s="8" customFormat="1">
      <c r="A102"/>
      <c r="B102"/>
      <c r="C102"/>
      <c r="D102"/>
      <c r="F102" s="12"/>
      <c r="G102" s="49"/>
      <c r="H102"/>
      <c r="I102"/>
      <c r="L102" s="10"/>
    </row>
    <row r="103" spans="1:12" s="8" customFormat="1">
      <c r="A103"/>
      <c r="B103"/>
      <c r="C103"/>
      <c r="D103"/>
      <c r="F103" s="12"/>
      <c r="G103" s="49"/>
      <c r="H103"/>
      <c r="I103"/>
      <c r="L103" s="10"/>
    </row>
    <row r="104" spans="1:12" s="8" customFormat="1">
      <c r="A104"/>
      <c r="B104"/>
      <c r="C104"/>
      <c r="D104"/>
      <c r="F104" s="12"/>
      <c r="G104" s="49"/>
      <c r="H104"/>
      <c r="I104"/>
      <c r="L104" s="10"/>
    </row>
    <row r="105" spans="1:12" s="8" customFormat="1">
      <c r="A105"/>
      <c r="B105"/>
      <c r="C105"/>
      <c r="D105"/>
      <c r="F105" s="12"/>
      <c r="G105" s="49"/>
      <c r="H105"/>
      <c r="I105"/>
      <c r="L105" s="10"/>
    </row>
    <row r="106" spans="1:12" s="8" customFormat="1">
      <c r="A106"/>
      <c r="B106"/>
      <c r="C106"/>
      <c r="D106"/>
      <c r="F106" s="12"/>
      <c r="G106" s="49"/>
      <c r="H106"/>
      <c r="I106"/>
      <c r="L106" s="10"/>
    </row>
    <row r="107" spans="1:12" s="8" customFormat="1">
      <c r="A107"/>
      <c r="B107"/>
      <c r="C107"/>
      <c r="D107"/>
      <c r="F107" s="12"/>
      <c r="G107" s="49"/>
      <c r="H107"/>
      <c r="I107"/>
      <c r="L107" s="10"/>
    </row>
    <row r="108" spans="1:12" s="8" customFormat="1">
      <c r="A108"/>
      <c r="B108"/>
      <c r="C108"/>
      <c r="D108"/>
      <c r="F108" s="12"/>
      <c r="G108" s="49"/>
      <c r="H108"/>
      <c r="I108"/>
      <c r="L108" s="10"/>
    </row>
    <row r="109" spans="1:12" s="8" customFormat="1">
      <c r="A109"/>
      <c r="B109"/>
      <c r="C109"/>
      <c r="D109"/>
      <c r="F109" s="12"/>
      <c r="G109" s="49"/>
      <c r="H109"/>
      <c r="I109"/>
      <c r="L109" s="10"/>
    </row>
    <row r="110" spans="1:12" s="8" customFormat="1">
      <c r="A110"/>
      <c r="B110"/>
      <c r="C110"/>
      <c r="D110"/>
      <c r="F110" s="12"/>
      <c r="G110" s="49"/>
      <c r="H110"/>
      <c r="I110"/>
      <c r="L110" s="10"/>
    </row>
    <row r="111" spans="1:12" s="8" customFormat="1">
      <c r="A111"/>
      <c r="B111"/>
      <c r="C111"/>
      <c r="D111"/>
      <c r="F111" s="12"/>
      <c r="G111" s="49"/>
      <c r="H111"/>
      <c r="I111"/>
      <c r="L111" s="10"/>
    </row>
    <row r="112" spans="1:12" s="8" customFormat="1">
      <c r="A112"/>
      <c r="B112"/>
      <c r="C112"/>
      <c r="D112"/>
      <c r="F112" s="12"/>
      <c r="G112" s="49"/>
      <c r="H112"/>
      <c r="I112"/>
      <c r="L112" s="10"/>
    </row>
    <row r="113" spans="1:12" s="8" customFormat="1">
      <c r="A113"/>
      <c r="B113"/>
      <c r="C113"/>
      <c r="D113"/>
      <c r="F113" s="12"/>
      <c r="G113" s="49"/>
      <c r="H113"/>
      <c r="I113"/>
      <c r="L113" s="10"/>
    </row>
    <row r="114" spans="1:12" s="8" customFormat="1">
      <c r="A114"/>
      <c r="B114"/>
      <c r="C114"/>
      <c r="D114"/>
      <c r="F114" s="12"/>
      <c r="G114" s="49"/>
      <c r="H114"/>
      <c r="I114"/>
      <c r="L114" s="10"/>
    </row>
    <row r="115" spans="1:12" s="8" customFormat="1">
      <c r="A115"/>
      <c r="B115"/>
      <c r="C115"/>
      <c r="D115"/>
      <c r="F115" s="12"/>
      <c r="G115" s="49"/>
      <c r="H115"/>
      <c r="I115"/>
      <c r="L115" s="10"/>
    </row>
    <row r="116" spans="1:12" s="8" customFormat="1">
      <c r="A116"/>
      <c r="B116"/>
      <c r="C116"/>
      <c r="D116"/>
      <c r="F116" s="12"/>
      <c r="G116" s="49"/>
      <c r="H116"/>
      <c r="I116"/>
      <c r="L116" s="10"/>
    </row>
    <row r="117" spans="1:12" s="8" customFormat="1">
      <c r="A117"/>
      <c r="B117"/>
      <c r="C117"/>
      <c r="D117"/>
      <c r="F117" s="12"/>
      <c r="G117" s="49"/>
      <c r="H117"/>
      <c r="I117"/>
      <c r="L117" s="10"/>
    </row>
    <row r="118" spans="1:12" s="8" customFormat="1">
      <c r="A118"/>
      <c r="B118"/>
      <c r="C118"/>
      <c r="D118"/>
      <c r="F118" s="12"/>
      <c r="G118" s="49"/>
      <c r="H118"/>
      <c r="I118"/>
      <c r="L118" s="10"/>
    </row>
    <row r="119" spans="1:12" s="8" customFormat="1">
      <c r="A119"/>
      <c r="B119"/>
      <c r="C119"/>
      <c r="D119"/>
      <c r="F119" s="12"/>
      <c r="G119" s="49"/>
      <c r="H119"/>
      <c r="I119"/>
      <c r="L119" s="10"/>
    </row>
    <row r="120" spans="1:12" s="8" customFormat="1">
      <c r="A120"/>
      <c r="B120"/>
      <c r="C120"/>
      <c r="D120"/>
      <c r="F120" s="12"/>
      <c r="G120" s="49"/>
      <c r="H120"/>
      <c r="I120"/>
      <c r="L120" s="10"/>
    </row>
    <row r="121" spans="1:12" s="8" customFormat="1">
      <c r="A121"/>
      <c r="B121"/>
      <c r="C121"/>
      <c r="D121"/>
      <c r="F121" s="12"/>
      <c r="G121" s="49"/>
      <c r="H121"/>
      <c r="I121"/>
      <c r="L121" s="10"/>
    </row>
    <row r="122" spans="1:12" s="8" customFormat="1">
      <c r="A122"/>
      <c r="B122"/>
      <c r="C122"/>
      <c r="D122"/>
      <c r="F122" s="12"/>
      <c r="G122" s="49"/>
      <c r="H122"/>
      <c r="I122"/>
      <c r="L122" s="10"/>
    </row>
    <row r="123" spans="1:12" s="8" customFormat="1">
      <c r="A123"/>
      <c r="B123"/>
      <c r="C123"/>
      <c r="D123"/>
      <c r="F123" s="12"/>
      <c r="G123" s="49"/>
      <c r="H123"/>
      <c r="I123"/>
      <c r="L123" s="10"/>
    </row>
    <row r="124" spans="1:12" s="8" customFormat="1">
      <c r="A124"/>
      <c r="B124"/>
      <c r="C124"/>
      <c r="D124"/>
      <c r="F124" s="12"/>
      <c r="G124" s="49"/>
      <c r="H124"/>
      <c r="I124"/>
      <c r="L124" s="10"/>
    </row>
    <row r="125" spans="1:12" s="8" customFormat="1">
      <c r="A125"/>
      <c r="B125"/>
      <c r="C125"/>
      <c r="D125"/>
      <c r="F125" s="12"/>
      <c r="G125" s="49"/>
      <c r="H125"/>
      <c r="I125"/>
      <c r="L125" s="10"/>
    </row>
    <row r="126" spans="1:12" s="8" customFormat="1">
      <c r="A126"/>
      <c r="B126"/>
      <c r="C126"/>
      <c r="D126"/>
      <c r="F126" s="12"/>
      <c r="G126" s="49"/>
      <c r="H126"/>
      <c r="I126"/>
      <c r="L126" s="10"/>
    </row>
    <row r="127" spans="1:12" s="8" customFormat="1">
      <c r="A127"/>
      <c r="B127"/>
      <c r="C127"/>
      <c r="D127"/>
      <c r="F127" s="12"/>
      <c r="G127" s="49"/>
      <c r="H127"/>
      <c r="I127"/>
      <c r="L127" s="10"/>
    </row>
    <row r="128" spans="1:12" s="8" customFormat="1">
      <c r="A128"/>
      <c r="B128"/>
      <c r="C128"/>
      <c r="D128"/>
      <c r="F128" s="12"/>
      <c r="G128" s="49"/>
      <c r="H128"/>
      <c r="I128"/>
      <c r="L128" s="10"/>
    </row>
    <row r="129" spans="1:12" s="8" customFormat="1">
      <c r="A129"/>
      <c r="B129"/>
      <c r="C129"/>
      <c r="D129"/>
      <c r="F129" s="12"/>
      <c r="G129" s="49"/>
      <c r="H129"/>
      <c r="I129"/>
      <c r="L129" s="10"/>
    </row>
    <row r="130" spans="1:12" s="8" customFormat="1">
      <c r="A130"/>
      <c r="B130"/>
      <c r="C130"/>
      <c r="D130"/>
      <c r="F130" s="12"/>
      <c r="G130" s="49"/>
      <c r="H130"/>
      <c r="I130"/>
      <c r="L130" s="10"/>
    </row>
    <row r="131" spans="1:12" s="8" customFormat="1">
      <c r="A131"/>
      <c r="B131"/>
      <c r="C131"/>
      <c r="D131"/>
      <c r="F131" s="12"/>
      <c r="G131" s="49"/>
      <c r="H131"/>
      <c r="I131"/>
      <c r="L131" s="10"/>
    </row>
    <row r="132" spans="1:12" s="8" customFormat="1">
      <c r="A132"/>
      <c r="B132"/>
      <c r="C132"/>
      <c r="D132"/>
      <c r="F132" s="12"/>
      <c r="G132" s="49"/>
      <c r="H132"/>
      <c r="I132"/>
      <c r="L132" s="10"/>
    </row>
    <row r="133" spans="1:12" s="8" customFormat="1">
      <c r="A133"/>
      <c r="B133"/>
      <c r="C133"/>
      <c r="D133"/>
      <c r="F133" s="12"/>
      <c r="G133" s="49"/>
      <c r="H133"/>
      <c r="I133"/>
      <c r="L133" s="10"/>
    </row>
    <row r="134" spans="1:12" s="8" customFormat="1">
      <c r="A134"/>
      <c r="B134"/>
      <c r="C134"/>
      <c r="D134"/>
      <c r="F134" s="12"/>
      <c r="G134" s="49"/>
      <c r="H134"/>
      <c r="I134"/>
      <c r="L134" s="10"/>
    </row>
    <row r="135" spans="1:12" s="8" customFormat="1">
      <c r="A135"/>
      <c r="B135"/>
      <c r="C135"/>
      <c r="D135"/>
      <c r="F135" s="12"/>
      <c r="G135" s="49"/>
      <c r="H135"/>
      <c r="I135"/>
      <c r="L135" s="10"/>
    </row>
    <row r="136" spans="1:12" s="8" customFormat="1">
      <c r="A136"/>
      <c r="B136"/>
      <c r="C136"/>
      <c r="D136"/>
      <c r="F136" s="12"/>
      <c r="G136" s="49"/>
      <c r="H136"/>
      <c r="I136"/>
      <c r="L136" s="10"/>
    </row>
    <row r="137" spans="1:12" s="8" customFormat="1">
      <c r="A137"/>
      <c r="B137"/>
      <c r="C137"/>
      <c r="D137"/>
      <c r="F137" s="12"/>
      <c r="G137" s="49"/>
      <c r="H137"/>
      <c r="I137"/>
      <c r="L137" s="10"/>
    </row>
    <row r="138" spans="1:12" s="8" customFormat="1">
      <c r="A138"/>
      <c r="B138"/>
      <c r="C138"/>
      <c r="D138"/>
      <c r="F138" s="12"/>
      <c r="G138" s="49"/>
      <c r="H138"/>
      <c r="I138"/>
      <c r="L138" s="10"/>
    </row>
    <row r="139" spans="1:12" s="8" customFormat="1">
      <c r="A139"/>
      <c r="B139"/>
      <c r="C139"/>
      <c r="D139"/>
      <c r="F139" s="12"/>
      <c r="G139" s="49"/>
      <c r="H139"/>
      <c r="I139"/>
      <c r="L139" s="10"/>
    </row>
    <row r="140" spans="1:12" s="8" customFormat="1">
      <c r="A140"/>
      <c r="B140"/>
      <c r="C140"/>
      <c r="D140"/>
      <c r="F140" s="12"/>
      <c r="G140" s="49"/>
      <c r="H140"/>
      <c r="I140"/>
      <c r="L140" s="10"/>
    </row>
    <row r="141" spans="1:12" s="8" customFormat="1">
      <c r="A141"/>
      <c r="B141"/>
      <c r="C141"/>
      <c r="D141"/>
      <c r="F141" s="12"/>
      <c r="G141" s="49"/>
      <c r="H141"/>
      <c r="I141"/>
      <c r="L141" s="10"/>
    </row>
    <row r="142" spans="1:12" s="8" customFormat="1">
      <c r="A142"/>
      <c r="B142"/>
      <c r="C142"/>
      <c r="D142"/>
      <c r="F142" s="12"/>
      <c r="G142" s="49"/>
      <c r="H142"/>
      <c r="I142"/>
      <c r="L142" s="10"/>
    </row>
    <row r="143" spans="1:12" s="8" customFormat="1">
      <c r="A143"/>
      <c r="B143"/>
      <c r="C143"/>
      <c r="D143"/>
      <c r="F143" s="12"/>
      <c r="G143" s="49"/>
      <c r="H143"/>
      <c r="I143"/>
      <c r="L143" s="10"/>
    </row>
    <row r="144" spans="1:12" s="8" customFormat="1">
      <c r="A144"/>
      <c r="B144"/>
      <c r="C144"/>
      <c r="D144"/>
      <c r="F144" s="12"/>
      <c r="G144" s="49"/>
      <c r="H144"/>
      <c r="I144"/>
      <c r="L144" s="10"/>
    </row>
    <row r="145" spans="1:12" s="8" customFormat="1">
      <c r="A145"/>
      <c r="B145"/>
      <c r="C145"/>
      <c r="D145"/>
      <c r="F145" s="12"/>
      <c r="G145" s="49"/>
      <c r="H145"/>
      <c r="I145"/>
      <c r="L145" s="10"/>
    </row>
    <row r="146" spans="1:12" s="8" customFormat="1">
      <c r="A146"/>
      <c r="B146"/>
      <c r="C146"/>
      <c r="D146"/>
      <c r="F146" s="12"/>
      <c r="G146" s="49"/>
      <c r="H146"/>
      <c r="I146"/>
      <c r="L146" s="10"/>
    </row>
    <row r="147" spans="1:12" s="8" customFormat="1">
      <c r="A147"/>
      <c r="B147"/>
      <c r="C147"/>
      <c r="D147"/>
      <c r="F147" s="12"/>
      <c r="G147" s="49"/>
      <c r="H147"/>
      <c r="I147"/>
      <c r="L147" s="10"/>
    </row>
    <row r="148" spans="1:12" s="8" customFormat="1">
      <c r="A148"/>
      <c r="B148"/>
      <c r="C148"/>
      <c r="D148"/>
      <c r="F148" s="12"/>
      <c r="G148" s="49"/>
      <c r="H148"/>
      <c r="I148"/>
      <c r="L148" s="10"/>
    </row>
    <row r="149" spans="1:12" s="8" customFormat="1">
      <c r="A149"/>
      <c r="B149"/>
      <c r="C149"/>
      <c r="D149"/>
      <c r="F149" s="12"/>
      <c r="G149" s="49"/>
      <c r="H149"/>
      <c r="I149"/>
      <c r="L149" s="10"/>
    </row>
    <row r="150" spans="1:12" s="8" customFormat="1">
      <c r="A150"/>
      <c r="B150"/>
      <c r="C150"/>
      <c r="D150"/>
      <c r="F150" s="12"/>
      <c r="G150" s="49"/>
      <c r="H150"/>
      <c r="I150"/>
      <c r="L150" s="10"/>
    </row>
    <row r="151" spans="1:12" s="8" customFormat="1">
      <c r="A151"/>
      <c r="B151"/>
      <c r="C151"/>
      <c r="D151"/>
      <c r="F151" s="12"/>
      <c r="G151" s="49"/>
      <c r="H151"/>
      <c r="I151"/>
      <c r="L151" s="10"/>
    </row>
    <row r="152" spans="1:12" s="8" customFormat="1">
      <c r="A152"/>
      <c r="B152"/>
      <c r="C152"/>
      <c r="D152"/>
      <c r="F152" s="12"/>
      <c r="G152" s="49"/>
      <c r="H152"/>
      <c r="I152"/>
      <c r="L152" s="10"/>
    </row>
    <row r="153" spans="1:12" s="8" customFormat="1">
      <c r="A153"/>
      <c r="B153"/>
      <c r="C153"/>
      <c r="D153"/>
      <c r="F153" s="12"/>
      <c r="G153" s="49"/>
      <c r="H153"/>
      <c r="I153"/>
      <c r="L153" s="10"/>
    </row>
    <row r="154" spans="1:12" s="8" customFormat="1">
      <c r="A154"/>
      <c r="B154"/>
      <c r="C154"/>
      <c r="D154"/>
      <c r="F154" s="12"/>
      <c r="G154" s="49"/>
      <c r="H154"/>
      <c r="I154"/>
      <c r="L154" s="10"/>
    </row>
    <row r="155" spans="1:12" s="8" customFormat="1">
      <c r="A155"/>
      <c r="B155"/>
      <c r="C155"/>
      <c r="D155"/>
      <c r="F155" s="12"/>
      <c r="G155" s="49"/>
      <c r="H155"/>
      <c r="I155"/>
      <c r="L155" s="10"/>
    </row>
    <row r="156" spans="1:12" s="8" customFormat="1">
      <c r="A156"/>
      <c r="B156"/>
      <c r="C156"/>
      <c r="D156"/>
      <c r="F156" s="12"/>
      <c r="G156" s="49"/>
      <c r="H156"/>
      <c r="I156"/>
      <c r="L156" s="10"/>
    </row>
    <row r="157" spans="1:12" s="8" customFormat="1">
      <c r="A157"/>
      <c r="B157"/>
      <c r="C157"/>
      <c r="D157"/>
      <c r="F157" s="12"/>
      <c r="G157" s="49"/>
      <c r="H157"/>
      <c r="I157"/>
      <c r="L157" s="10"/>
    </row>
    <row r="158" spans="1:12" s="8" customFormat="1">
      <c r="A158"/>
      <c r="B158"/>
      <c r="C158"/>
      <c r="D158"/>
      <c r="F158" s="12"/>
      <c r="G158" s="49"/>
      <c r="H158"/>
      <c r="I158"/>
      <c r="L158" s="10"/>
    </row>
    <row r="159" spans="1:12" s="8" customFormat="1">
      <c r="A159"/>
      <c r="B159"/>
      <c r="C159"/>
      <c r="D159"/>
      <c r="F159" s="12"/>
      <c r="G159" s="49"/>
      <c r="H159"/>
      <c r="I159"/>
      <c r="L159" s="10"/>
    </row>
    <row r="160" spans="1:12" s="8" customFormat="1">
      <c r="A160"/>
      <c r="B160"/>
      <c r="C160"/>
      <c r="D160"/>
      <c r="F160" s="12"/>
      <c r="G160" s="49"/>
      <c r="H160"/>
      <c r="I160"/>
      <c r="L160" s="10"/>
    </row>
    <row r="161" spans="1:12" s="8" customFormat="1">
      <c r="A161"/>
      <c r="B161"/>
      <c r="C161"/>
      <c r="D161"/>
      <c r="F161" s="12"/>
      <c r="G161" s="49"/>
      <c r="H161"/>
      <c r="I161"/>
      <c r="L161" s="10"/>
    </row>
    <row r="162" spans="1:12" s="8" customFormat="1">
      <c r="A162"/>
      <c r="B162"/>
      <c r="C162"/>
      <c r="D162"/>
      <c r="F162" s="12"/>
      <c r="G162" s="49"/>
      <c r="H162"/>
      <c r="I162"/>
      <c r="L162" s="10"/>
    </row>
    <row r="163" spans="1:12" s="8" customFormat="1">
      <c r="A163"/>
      <c r="B163"/>
      <c r="C163"/>
      <c r="D163"/>
      <c r="F163" s="12"/>
      <c r="G163" s="49"/>
      <c r="H163"/>
      <c r="I163"/>
      <c r="L163" s="10"/>
    </row>
    <row r="164" spans="1:12" s="8" customFormat="1">
      <c r="A164"/>
      <c r="B164"/>
      <c r="C164"/>
      <c r="D164"/>
      <c r="F164" s="12"/>
      <c r="G164" s="49"/>
      <c r="H164"/>
      <c r="I164"/>
      <c r="L164" s="10"/>
    </row>
    <row r="165" spans="1:12" s="8" customFormat="1">
      <c r="A165"/>
      <c r="B165"/>
      <c r="C165"/>
      <c r="D165"/>
      <c r="F165" s="12"/>
      <c r="G165" s="49"/>
      <c r="H165"/>
      <c r="I165"/>
      <c r="L165" s="10"/>
    </row>
    <row r="166" spans="1:12" s="8" customFormat="1">
      <c r="A166"/>
      <c r="B166"/>
      <c r="C166"/>
      <c r="D166"/>
      <c r="F166" s="12"/>
      <c r="G166" s="49"/>
      <c r="H166"/>
      <c r="I166"/>
      <c r="L166" s="10"/>
    </row>
    <row r="167" spans="1:12" s="8" customFormat="1">
      <c r="A167"/>
      <c r="B167"/>
      <c r="C167"/>
      <c r="D167"/>
      <c r="F167" s="12"/>
      <c r="G167" s="49"/>
      <c r="H167"/>
      <c r="I167"/>
      <c r="L167" s="10"/>
    </row>
    <row r="168" spans="1:12" s="8" customFormat="1">
      <c r="A168"/>
      <c r="B168"/>
      <c r="C168"/>
      <c r="D168"/>
      <c r="F168" s="12"/>
      <c r="G168" s="49"/>
      <c r="H168"/>
      <c r="I168"/>
      <c r="L168" s="10"/>
    </row>
    <row r="169" spans="1:12" s="8" customFormat="1">
      <c r="A169"/>
      <c r="B169"/>
      <c r="C169"/>
      <c r="D169"/>
      <c r="F169" s="12"/>
      <c r="G169" s="49"/>
      <c r="H169"/>
      <c r="I169"/>
      <c r="L169" s="10"/>
    </row>
    <row r="170" spans="1:12" s="8" customFormat="1">
      <c r="A170"/>
      <c r="B170"/>
      <c r="C170"/>
      <c r="D170"/>
      <c r="F170" s="12"/>
      <c r="G170" s="49"/>
      <c r="H170"/>
      <c r="I170"/>
      <c r="L170" s="10"/>
    </row>
    <row r="171" spans="1:12" s="8" customFormat="1">
      <c r="A171"/>
      <c r="B171"/>
      <c r="C171"/>
      <c r="D171"/>
      <c r="F171" s="12"/>
      <c r="G171" s="49"/>
      <c r="H171"/>
      <c r="I171"/>
      <c r="L171" s="10"/>
    </row>
    <row r="172" spans="1:12" s="8" customFormat="1">
      <c r="A172"/>
      <c r="B172"/>
      <c r="C172"/>
      <c r="D172"/>
      <c r="F172" s="12"/>
      <c r="G172" s="49"/>
      <c r="H172"/>
      <c r="I172"/>
      <c r="L172" s="10"/>
    </row>
    <row r="173" spans="1:12" s="8" customFormat="1">
      <c r="A173"/>
      <c r="B173"/>
      <c r="C173"/>
      <c r="D173"/>
      <c r="F173" s="12"/>
      <c r="G173" s="49"/>
      <c r="H173"/>
      <c r="I173"/>
      <c r="L173" s="10"/>
    </row>
    <row r="174" spans="1:12" s="8" customFormat="1">
      <c r="A174"/>
      <c r="B174"/>
      <c r="C174"/>
      <c r="D174"/>
      <c r="F174" s="12"/>
      <c r="G174" s="49"/>
      <c r="H174"/>
      <c r="I174"/>
      <c r="L174" s="10"/>
    </row>
    <row r="175" spans="1:12" s="8" customFormat="1">
      <c r="A175"/>
      <c r="B175"/>
      <c r="C175"/>
      <c r="D175"/>
      <c r="F175" s="12"/>
      <c r="G175" s="49"/>
      <c r="H175"/>
      <c r="I175"/>
      <c r="L175" s="10"/>
    </row>
    <row r="176" spans="1:12" s="8" customFormat="1">
      <c r="A176"/>
      <c r="B176"/>
      <c r="C176"/>
      <c r="D176"/>
      <c r="F176" s="12"/>
      <c r="G176" s="49"/>
      <c r="H176"/>
      <c r="I176"/>
      <c r="L176" s="10"/>
    </row>
    <row r="177" spans="1:12" s="8" customFormat="1">
      <c r="A177"/>
      <c r="B177"/>
      <c r="C177"/>
      <c r="D177"/>
      <c r="F177" s="12"/>
      <c r="G177" s="49"/>
      <c r="H177"/>
      <c r="I177"/>
      <c r="L177" s="10"/>
    </row>
    <row r="178" spans="1:12" s="8" customFormat="1">
      <c r="A178"/>
      <c r="B178"/>
      <c r="C178"/>
      <c r="D178"/>
      <c r="F178" s="12"/>
      <c r="G178" s="49"/>
      <c r="H178"/>
      <c r="I178"/>
      <c r="L178" s="10"/>
    </row>
    <row r="179" spans="1:12" s="8" customFormat="1">
      <c r="A179"/>
      <c r="B179"/>
      <c r="C179"/>
      <c r="D179"/>
      <c r="F179" s="12"/>
      <c r="G179" s="49"/>
      <c r="H179"/>
      <c r="I179"/>
      <c r="L179" s="10"/>
    </row>
    <row r="180" spans="1:12" s="8" customFormat="1">
      <c r="A180"/>
      <c r="B180"/>
      <c r="C180"/>
      <c r="D180"/>
      <c r="F180" s="12"/>
      <c r="G180" s="49"/>
      <c r="H180"/>
      <c r="I180"/>
      <c r="L180" s="10"/>
    </row>
    <row r="181" spans="1:12" s="8" customFormat="1">
      <c r="A181"/>
      <c r="B181"/>
      <c r="C181"/>
      <c r="D181"/>
      <c r="F181" s="12"/>
      <c r="G181" s="49"/>
      <c r="H181"/>
      <c r="I181"/>
      <c r="L181" s="10"/>
    </row>
    <row r="182" spans="1:12" s="8" customFormat="1">
      <c r="A182"/>
      <c r="B182"/>
      <c r="C182"/>
      <c r="D182"/>
      <c r="F182" s="12"/>
      <c r="G182" s="49"/>
      <c r="H182"/>
      <c r="I182"/>
      <c r="L182" s="10"/>
    </row>
    <row r="183" spans="1:12" s="8" customFormat="1">
      <c r="A183"/>
      <c r="B183"/>
      <c r="C183"/>
      <c r="D183"/>
      <c r="F183" s="12"/>
      <c r="G183" s="49"/>
      <c r="H183"/>
      <c r="I183"/>
      <c r="L183" s="10"/>
    </row>
    <row r="184" spans="1:12" s="8" customFormat="1">
      <c r="A184"/>
      <c r="B184"/>
      <c r="C184"/>
      <c r="D184"/>
      <c r="F184" s="12"/>
      <c r="G184" s="49"/>
      <c r="H184"/>
      <c r="I184"/>
      <c r="L184" s="10"/>
    </row>
    <row r="185" spans="1:12" s="8" customFormat="1">
      <c r="A185"/>
      <c r="B185"/>
      <c r="C185"/>
      <c r="D185"/>
      <c r="F185" s="12"/>
      <c r="G185" s="49"/>
      <c r="H185"/>
      <c r="I185"/>
      <c r="L185" s="10"/>
    </row>
    <row r="186" spans="1:12" s="8" customFormat="1">
      <c r="A186"/>
      <c r="B186"/>
      <c r="C186"/>
      <c r="D186"/>
      <c r="F186" s="12"/>
      <c r="G186" s="49"/>
      <c r="H186"/>
      <c r="I186"/>
      <c r="L186" s="10"/>
    </row>
    <row r="187" spans="1:12" s="8" customFormat="1">
      <c r="A187"/>
      <c r="B187"/>
      <c r="C187"/>
      <c r="D187"/>
      <c r="F187" s="12"/>
      <c r="G187" s="49"/>
      <c r="H187"/>
      <c r="I187"/>
      <c r="L187" s="10"/>
    </row>
    <row r="188" spans="1:12" s="8" customFormat="1">
      <c r="A188"/>
      <c r="B188"/>
      <c r="C188"/>
      <c r="D188"/>
      <c r="F188" s="12"/>
      <c r="G188" s="49"/>
      <c r="H188"/>
      <c r="I188"/>
      <c r="L188" s="10"/>
    </row>
    <row r="189" spans="1:12" s="8" customFormat="1">
      <c r="A189"/>
      <c r="B189"/>
      <c r="C189"/>
      <c r="D189"/>
      <c r="F189" s="12"/>
      <c r="G189" s="49"/>
      <c r="H189"/>
      <c r="I189"/>
      <c r="L189" s="10"/>
    </row>
    <row r="190" spans="1:12" s="8" customFormat="1">
      <c r="A190"/>
      <c r="B190"/>
      <c r="C190"/>
      <c r="D190"/>
      <c r="F190" s="12"/>
      <c r="G190" s="49"/>
      <c r="H190"/>
      <c r="I190"/>
      <c r="L190" s="10"/>
    </row>
    <row r="191" spans="1:12" s="8" customFormat="1">
      <c r="A191"/>
      <c r="B191"/>
      <c r="C191"/>
      <c r="D191"/>
      <c r="F191" s="12"/>
      <c r="G191" s="49"/>
      <c r="H191"/>
      <c r="I191"/>
      <c r="L191" s="10"/>
    </row>
    <row r="192" spans="1:12" s="8" customFormat="1">
      <c r="A192"/>
      <c r="B192"/>
      <c r="C192"/>
      <c r="D192"/>
      <c r="F192" s="12"/>
      <c r="G192" s="49"/>
      <c r="H192"/>
      <c r="I192"/>
      <c r="L192" s="10"/>
    </row>
    <row r="193" spans="1:12" s="8" customFormat="1">
      <c r="A193"/>
      <c r="B193"/>
      <c r="C193"/>
      <c r="D193"/>
      <c r="F193" s="12"/>
      <c r="G193" s="49"/>
      <c r="H193"/>
      <c r="I193"/>
      <c r="L193" s="10"/>
    </row>
    <row r="194" spans="1:12" s="8" customFormat="1">
      <c r="A194"/>
      <c r="B194"/>
      <c r="C194"/>
      <c r="D194"/>
      <c r="F194" s="12"/>
      <c r="G194" s="49"/>
      <c r="H194"/>
      <c r="I194"/>
      <c r="L194" s="10"/>
    </row>
    <row r="195" spans="1:12" s="8" customFormat="1">
      <c r="A195"/>
      <c r="B195"/>
      <c r="C195"/>
      <c r="D195"/>
      <c r="F195" s="12"/>
      <c r="G195" s="49"/>
      <c r="H195"/>
      <c r="I195"/>
      <c r="L195" s="10"/>
    </row>
    <row r="196" spans="1:12" s="8" customFormat="1">
      <c r="A196"/>
      <c r="B196"/>
      <c r="C196"/>
      <c r="D196"/>
      <c r="F196" s="12"/>
      <c r="G196" s="49"/>
      <c r="H196"/>
      <c r="I196"/>
      <c r="L196" s="10"/>
    </row>
    <row r="197" spans="1:12" s="8" customFormat="1">
      <c r="A197"/>
      <c r="B197"/>
      <c r="C197"/>
      <c r="D197"/>
      <c r="F197" s="12"/>
      <c r="G197" s="49"/>
      <c r="H197"/>
      <c r="I197"/>
      <c r="L197" s="10"/>
    </row>
    <row r="198" spans="1:12" s="8" customFormat="1">
      <c r="A198"/>
      <c r="B198"/>
      <c r="C198"/>
      <c r="D198"/>
      <c r="F198" s="12"/>
      <c r="G198" s="49"/>
      <c r="H198"/>
      <c r="I198"/>
      <c r="L198" s="10"/>
    </row>
    <row r="199" spans="1:12" s="8" customFormat="1">
      <c r="A199"/>
      <c r="B199"/>
      <c r="C199"/>
      <c r="D199"/>
      <c r="F199" s="12"/>
      <c r="G199" s="49"/>
      <c r="H199"/>
      <c r="I199"/>
      <c r="L199" s="10"/>
    </row>
    <row r="200" spans="1:12" s="8" customFormat="1">
      <c r="A200"/>
      <c r="B200"/>
      <c r="C200"/>
      <c r="D200"/>
      <c r="F200" s="12"/>
      <c r="G200" s="49"/>
      <c r="H200"/>
      <c r="I200"/>
      <c r="L200" s="10"/>
    </row>
    <row r="201" spans="1:12" s="8" customFormat="1">
      <c r="A201"/>
      <c r="B201"/>
      <c r="C201"/>
      <c r="D201"/>
      <c r="F201" s="12"/>
      <c r="G201" s="49"/>
      <c r="H201"/>
      <c r="I201"/>
      <c r="L201" s="10"/>
    </row>
    <row r="202" spans="1:12" s="8" customFormat="1">
      <c r="A202"/>
      <c r="B202"/>
      <c r="C202"/>
      <c r="D202"/>
      <c r="F202" s="12"/>
      <c r="G202" s="49"/>
      <c r="H202"/>
      <c r="I202"/>
      <c r="L202" s="10"/>
    </row>
    <row r="203" spans="1:12" s="8" customFormat="1" ht="21">
      <c r="A203" s="13"/>
      <c r="B203"/>
      <c r="C203"/>
      <c r="D203"/>
      <c r="F203" s="12"/>
      <c r="G203" s="49"/>
      <c r="H203"/>
      <c r="I203"/>
      <c r="L203" s="10"/>
    </row>
    <row r="204" spans="1:12" s="8" customFormat="1" ht="21">
      <c r="A204" s="13"/>
      <c r="B204"/>
      <c r="C204"/>
      <c r="D204" s="14"/>
      <c r="F204" s="12"/>
      <c r="G204" s="49"/>
      <c r="H204"/>
      <c r="I204"/>
      <c r="L204" s="10"/>
    </row>
    <row r="205" spans="1:12" s="8" customFormat="1" ht="21">
      <c r="A205" s="13"/>
      <c r="B205"/>
      <c r="C205"/>
      <c r="D205" s="14"/>
      <c r="F205" s="12"/>
      <c r="G205" s="49"/>
      <c r="H205"/>
      <c r="I205"/>
      <c r="L205" s="10"/>
    </row>
    <row r="206" spans="1:12" s="8" customFormat="1" ht="21">
      <c r="A206" s="13"/>
      <c r="B206"/>
      <c r="C206"/>
      <c r="D206" s="14"/>
      <c r="F206" s="12"/>
      <c r="G206" s="49"/>
      <c r="H206"/>
      <c r="I206"/>
      <c r="L206" s="10"/>
    </row>
    <row r="207" spans="1:12" s="8" customFormat="1">
      <c r="A207"/>
      <c r="B207"/>
      <c r="C207"/>
      <c r="D207" s="14"/>
      <c r="F207" s="12"/>
      <c r="G207" s="49"/>
      <c r="H207"/>
      <c r="I207"/>
      <c r="L207" s="10"/>
    </row>
    <row r="208" spans="1:12" s="8" customFormat="1">
      <c r="A208"/>
      <c r="B208"/>
      <c r="C208"/>
      <c r="D208" s="14"/>
      <c r="F208" s="12"/>
      <c r="G208" s="49"/>
      <c r="H208"/>
      <c r="I208"/>
      <c r="L208" s="10"/>
    </row>
    <row r="209" spans="1:12" s="8" customFormat="1">
      <c r="A209"/>
      <c r="B209"/>
      <c r="C209" s="14"/>
      <c r="D209" s="14"/>
      <c r="F209" s="12"/>
      <c r="G209" s="49"/>
      <c r="H209"/>
      <c r="I209"/>
      <c r="L209" s="10"/>
    </row>
    <row r="210" spans="1:12" s="8" customFormat="1">
      <c r="A210"/>
      <c r="B210"/>
      <c r="C210" s="14"/>
      <c r="D210" s="14"/>
      <c r="F210" s="12"/>
      <c r="G210" s="49"/>
      <c r="H210"/>
      <c r="I210"/>
      <c r="L210" s="10"/>
    </row>
    <row r="211" spans="1:12" s="8" customFormat="1">
      <c r="A211"/>
      <c r="B211"/>
      <c r="C211" s="14"/>
      <c r="D211" s="14"/>
      <c r="F211" s="12"/>
      <c r="G211" s="49"/>
      <c r="H211"/>
      <c r="I211"/>
      <c r="L211" s="10"/>
    </row>
    <row r="212" spans="1:12" s="8" customFormat="1">
      <c r="A212"/>
      <c r="B212" s="15"/>
      <c r="C212" s="14"/>
      <c r="D212" s="14"/>
      <c r="F212" s="12"/>
      <c r="G212" s="49"/>
      <c r="H212"/>
      <c r="I212"/>
      <c r="L212" s="10"/>
    </row>
    <row r="213" spans="1:12" s="8" customFormat="1">
      <c r="A213"/>
      <c r="B213" s="15"/>
      <c r="C213"/>
      <c r="D213" s="14"/>
      <c r="F213" s="12"/>
      <c r="G213" s="49"/>
      <c r="H213"/>
      <c r="I213"/>
      <c r="L213" s="10"/>
    </row>
    <row r="214" spans="1:12" s="8" customFormat="1">
      <c r="A214" s="16"/>
      <c r="B214" s="15"/>
      <c r="C214"/>
      <c r="D214" s="14"/>
      <c r="F214" s="12"/>
      <c r="G214" s="49"/>
      <c r="H214"/>
      <c r="I214"/>
      <c r="L214" s="10"/>
    </row>
    <row r="215" spans="1:12" s="8" customFormat="1">
      <c r="A215" s="16"/>
      <c r="B215" s="15"/>
      <c r="C215"/>
      <c r="D215" s="14"/>
      <c r="F215" s="12"/>
      <c r="G215" s="49"/>
      <c r="H215"/>
      <c r="I215"/>
      <c r="L215" s="10"/>
    </row>
    <row r="216" spans="1:12" s="8" customFormat="1">
      <c r="A216" s="17"/>
      <c r="B216" s="15"/>
      <c r="C216" s="14"/>
      <c r="D216" s="14"/>
      <c r="F216" s="12"/>
      <c r="G216" s="49"/>
      <c r="H216"/>
      <c r="I216"/>
      <c r="L216" s="10"/>
    </row>
    <row r="217" spans="1:12" s="8" customFormat="1">
      <c r="A217" s="17"/>
      <c r="B217" s="15"/>
      <c r="C217" s="14"/>
      <c r="F217" s="12"/>
      <c r="G217" s="49"/>
      <c r="H217"/>
      <c r="I217"/>
      <c r="L217" s="10"/>
    </row>
    <row r="218" spans="1:12" s="8" customFormat="1">
      <c r="A218" s="17"/>
      <c r="B218" s="15"/>
      <c r="C218" s="14"/>
      <c r="F218" s="12"/>
      <c r="G218" s="49"/>
      <c r="H218"/>
      <c r="I218"/>
      <c r="L218" s="10"/>
    </row>
    <row r="219" spans="1:12" s="8" customFormat="1">
      <c r="A219" s="17"/>
      <c r="B219" s="15"/>
      <c r="C219" s="14"/>
      <c r="F219" s="12"/>
      <c r="G219" s="49"/>
      <c r="H219"/>
      <c r="I219"/>
      <c r="L219" s="10"/>
    </row>
    <row r="220" spans="1:12" s="8" customFormat="1">
      <c r="A220" s="17"/>
      <c r="B220" s="15"/>
      <c r="C220" s="14"/>
      <c r="F220" s="12"/>
      <c r="G220" s="49"/>
      <c r="H220"/>
      <c r="I220"/>
      <c r="L220" s="10"/>
    </row>
    <row r="221" spans="1:12" s="8" customFormat="1">
      <c r="A221" s="17"/>
      <c r="B221" s="15"/>
      <c r="C221" s="14"/>
      <c r="D221" s="14"/>
      <c r="F221" s="12"/>
      <c r="G221" s="49"/>
      <c r="H221"/>
      <c r="I221"/>
      <c r="L221" s="10"/>
    </row>
    <row r="222" spans="1:12" s="8" customFormat="1">
      <c r="A222" s="17"/>
      <c r="B222" s="15"/>
      <c r="D222" s="14"/>
      <c r="F222" s="12"/>
      <c r="G222" s="49"/>
      <c r="H222"/>
      <c r="I222"/>
      <c r="L222" s="10"/>
    </row>
    <row r="223" spans="1:12" s="8" customFormat="1">
      <c r="A223" s="17"/>
      <c r="B223" s="15"/>
      <c r="D223" s="14"/>
      <c r="F223" s="12"/>
      <c r="G223" s="49"/>
      <c r="H223"/>
      <c r="I223"/>
      <c r="L223" s="10"/>
    </row>
    <row r="224" spans="1:12" s="8" customFormat="1">
      <c r="A224" s="17"/>
      <c r="B224" s="15"/>
      <c r="D224" s="14"/>
      <c r="F224" s="12"/>
      <c r="G224" s="49"/>
      <c r="H224"/>
      <c r="I224"/>
      <c r="L224" s="10"/>
    </row>
    <row r="225" spans="1:12" s="8" customFormat="1">
      <c r="A225" s="17"/>
      <c r="D225" s="14"/>
      <c r="F225" s="12"/>
      <c r="G225" s="49"/>
      <c r="H225"/>
      <c r="I225"/>
      <c r="L225" s="10"/>
    </row>
    <row r="226" spans="1:12" s="8" customFormat="1">
      <c r="A226" s="17"/>
      <c r="C226" s="14"/>
      <c r="D226" s="14"/>
      <c r="F226" s="12"/>
      <c r="G226" s="49"/>
      <c r="H226"/>
      <c r="I226"/>
      <c r="L226" s="10"/>
    </row>
    <row r="227" spans="1:12" s="8" customFormat="1">
      <c r="C227" s="14"/>
      <c r="D227" s="14"/>
      <c r="F227" s="12"/>
      <c r="G227" s="49"/>
      <c r="H227"/>
      <c r="I227"/>
      <c r="L227" s="10"/>
    </row>
    <row r="228" spans="1:12" s="8" customFormat="1">
      <c r="C228" s="14"/>
      <c r="D228" s="14"/>
      <c r="F228" s="12"/>
      <c r="G228" s="49"/>
      <c r="H228"/>
      <c r="I228"/>
      <c r="L228" s="10"/>
    </row>
    <row r="229" spans="1:12" s="8" customFormat="1">
      <c r="B229" s="15"/>
      <c r="C229" s="14"/>
      <c r="D229" s="14"/>
      <c r="F229" s="12"/>
      <c r="G229" s="49"/>
      <c r="H229"/>
      <c r="I229"/>
      <c r="L229" s="10"/>
    </row>
    <row r="230" spans="1:12" s="8" customFormat="1">
      <c r="B230" s="15"/>
      <c r="C230" s="14"/>
      <c r="D230" s="14"/>
      <c r="F230" s="12"/>
      <c r="G230" s="49"/>
      <c r="H230"/>
      <c r="I230"/>
      <c r="L230" s="10"/>
    </row>
    <row r="231" spans="1:12" s="8" customFormat="1">
      <c r="A231" s="17"/>
      <c r="B231" s="15"/>
      <c r="C231" s="14"/>
      <c r="D231" s="14"/>
      <c r="F231" s="12"/>
      <c r="G231" s="49"/>
      <c r="H231"/>
      <c r="I231"/>
      <c r="L231" s="10"/>
    </row>
    <row r="232" spans="1:12" s="8" customFormat="1">
      <c r="A232" s="17"/>
      <c r="B232" s="15"/>
      <c r="C232" s="14"/>
      <c r="D232" s="14"/>
      <c r="F232" s="12"/>
      <c r="G232" s="49"/>
      <c r="H232"/>
      <c r="I232"/>
      <c r="L232" s="10"/>
    </row>
    <row r="233" spans="1:12" s="8" customFormat="1">
      <c r="A233" s="17"/>
      <c r="B233" s="15"/>
      <c r="C233" s="14"/>
      <c r="D233" s="14"/>
      <c r="F233" s="12"/>
      <c r="G233" s="49"/>
      <c r="H233"/>
      <c r="I233"/>
      <c r="L233" s="10"/>
    </row>
    <row r="234" spans="1:12" s="8" customFormat="1">
      <c r="A234" s="17"/>
      <c r="B234" s="15"/>
      <c r="C234" s="14"/>
      <c r="D234" s="14"/>
      <c r="F234" s="12"/>
      <c r="G234" s="49"/>
      <c r="H234"/>
      <c r="I234"/>
      <c r="L234" s="10"/>
    </row>
    <row r="235" spans="1:12" s="8" customFormat="1">
      <c r="A235" s="17"/>
      <c r="B235" s="15"/>
      <c r="C235" s="14"/>
      <c r="D235" s="14"/>
      <c r="F235" s="12"/>
      <c r="G235" s="49"/>
      <c r="H235"/>
      <c r="I235"/>
      <c r="L235" s="10"/>
    </row>
    <row r="236" spans="1:12" s="8" customFormat="1">
      <c r="A236" s="17"/>
      <c r="B236" s="15"/>
      <c r="C236" s="14"/>
      <c r="D236" s="14"/>
      <c r="F236" s="12"/>
      <c r="G236" s="49"/>
      <c r="H236"/>
      <c r="I236"/>
      <c r="L236" s="10"/>
    </row>
    <row r="237" spans="1:12" s="8" customFormat="1">
      <c r="A237" s="17"/>
      <c r="B237" s="15"/>
      <c r="C237" s="14"/>
      <c r="D237" s="14"/>
      <c r="F237" s="12"/>
      <c r="G237" s="49"/>
      <c r="H237"/>
      <c r="I237"/>
      <c r="L237" s="10"/>
    </row>
    <row r="238" spans="1:12" s="8" customFormat="1">
      <c r="A238" s="17"/>
      <c r="B238" s="15"/>
      <c r="C238" s="14"/>
      <c r="D238" s="14"/>
      <c r="F238" s="12"/>
      <c r="G238" s="49"/>
      <c r="H238"/>
      <c r="I238"/>
      <c r="L238" s="10"/>
    </row>
    <row r="239" spans="1:12" s="8" customFormat="1">
      <c r="A239" s="17"/>
      <c r="B239" s="15"/>
      <c r="C239" s="14"/>
      <c r="D239" s="14"/>
      <c r="F239" s="12"/>
      <c r="G239" s="49"/>
      <c r="H239"/>
      <c r="I239"/>
      <c r="L239" s="10"/>
    </row>
    <row r="240" spans="1:12" s="8" customFormat="1">
      <c r="A240" s="17"/>
      <c r="B240" s="15"/>
      <c r="C240" s="14"/>
      <c r="D240" s="14"/>
      <c r="F240" s="12"/>
      <c r="G240" s="49"/>
      <c r="H240"/>
      <c r="I240"/>
      <c r="L240" s="10"/>
    </row>
    <row r="241" spans="1:12" s="8" customFormat="1">
      <c r="A241" s="17"/>
      <c r="B241" s="15"/>
      <c r="C241" s="14"/>
      <c r="D241" s="14"/>
      <c r="F241" s="12"/>
      <c r="G241" s="49"/>
      <c r="H241"/>
      <c r="I241"/>
      <c r="L241" s="10"/>
    </row>
    <row r="242" spans="1:12" s="8" customFormat="1">
      <c r="A242" s="17"/>
      <c r="B242" s="15"/>
      <c r="C242" s="14"/>
      <c r="D242" s="14"/>
      <c r="F242" s="12"/>
      <c r="G242" s="49"/>
      <c r="H242"/>
      <c r="I242"/>
      <c r="L242" s="10"/>
    </row>
    <row r="243" spans="1:12" s="8" customFormat="1">
      <c r="A243" s="17"/>
      <c r="B243" s="15"/>
      <c r="C243" s="14"/>
      <c r="D243" s="14"/>
      <c r="F243" s="12"/>
      <c r="G243" s="49"/>
      <c r="H243"/>
      <c r="I243"/>
      <c r="L243" s="10"/>
    </row>
    <row r="244" spans="1:12" s="8" customFormat="1">
      <c r="A244" s="17"/>
      <c r="B244" s="15"/>
      <c r="C244" s="14"/>
      <c r="D244" s="14"/>
      <c r="F244" s="12"/>
      <c r="G244" s="49"/>
      <c r="H244"/>
      <c r="I244"/>
      <c r="L244" s="10"/>
    </row>
    <row r="245" spans="1:12" s="8" customFormat="1">
      <c r="A245" s="17"/>
      <c r="B245" s="15"/>
      <c r="C245" s="14"/>
      <c r="D245" s="14"/>
      <c r="F245" s="12"/>
      <c r="G245" s="49"/>
      <c r="H245"/>
      <c r="I245"/>
      <c r="L245" s="10"/>
    </row>
    <row r="246" spans="1:12" s="8" customFormat="1">
      <c r="A246" s="17"/>
      <c r="B246" s="15"/>
      <c r="C246" s="14"/>
      <c r="D246" s="14"/>
      <c r="F246" s="12"/>
      <c r="G246" s="49"/>
      <c r="H246"/>
      <c r="I246"/>
      <c r="L246" s="10"/>
    </row>
    <row r="247" spans="1:12" s="8" customFormat="1">
      <c r="A247" s="17"/>
      <c r="B247" s="15"/>
      <c r="C247" s="14"/>
      <c r="D247" s="14"/>
      <c r="F247" s="12"/>
      <c r="G247" s="49"/>
      <c r="H247"/>
      <c r="I247"/>
      <c r="L247" s="10"/>
    </row>
    <row r="248" spans="1:12" s="8" customFormat="1">
      <c r="A248" s="17"/>
      <c r="B248" s="15"/>
      <c r="C248" s="14"/>
      <c r="D248" s="14"/>
      <c r="F248" s="12"/>
      <c r="G248" s="49"/>
      <c r="H248"/>
      <c r="I248"/>
      <c r="L248" s="10"/>
    </row>
    <row r="249" spans="1:12" s="8" customFormat="1">
      <c r="A249" s="17"/>
      <c r="B249" s="15"/>
      <c r="C249" s="14"/>
      <c r="D249" s="14"/>
      <c r="F249" s="7"/>
      <c r="G249" s="49"/>
      <c r="H249"/>
      <c r="I249"/>
      <c r="L249" s="10"/>
    </row>
    <row r="250" spans="1:12" s="8" customFormat="1">
      <c r="A250" s="17"/>
      <c r="B250" s="15"/>
      <c r="C250" s="14"/>
      <c r="D250" s="14"/>
      <c r="F250" s="7"/>
      <c r="G250" s="49"/>
      <c r="H250"/>
      <c r="I250"/>
      <c r="L250" s="10"/>
    </row>
    <row r="251" spans="1:12" s="8" customFormat="1">
      <c r="A251" s="17"/>
      <c r="B251" s="15"/>
      <c r="C251" s="14"/>
      <c r="D251" s="14"/>
      <c r="F251" s="7"/>
      <c r="G251" s="49"/>
      <c r="H251"/>
      <c r="I251"/>
      <c r="L251" s="10"/>
    </row>
    <row r="252" spans="1:12" s="8" customFormat="1">
      <c r="A252" s="17"/>
      <c r="B252" s="15"/>
      <c r="C252" s="14"/>
      <c r="D252" s="14"/>
      <c r="F252" s="7"/>
      <c r="G252" s="49"/>
      <c r="H252"/>
      <c r="I252"/>
      <c r="L252" s="10"/>
    </row>
    <row r="253" spans="1:12" s="8" customFormat="1">
      <c r="A253" s="17"/>
      <c r="B253" s="15"/>
      <c r="C253" s="14"/>
      <c r="D253" s="14"/>
      <c r="F253" s="7"/>
      <c r="G253" s="49"/>
      <c r="H253"/>
      <c r="I253"/>
      <c r="L253" s="10"/>
    </row>
    <row r="254" spans="1:12" s="8" customFormat="1">
      <c r="A254" s="17"/>
      <c r="B254" s="15"/>
      <c r="C254" s="14"/>
      <c r="D254" s="14"/>
      <c r="F254" s="7"/>
      <c r="G254" s="49"/>
      <c r="H254"/>
      <c r="I254"/>
      <c r="L254" s="10"/>
    </row>
    <row r="255" spans="1:12" s="8" customFormat="1">
      <c r="A255" s="17"/>
      <c r="B255" s="15"/>
      <c r="C255" s="14"/>
      <c r="D255" s="14"/>
      <c r="F255" s="7"/>
      <c r="G255" s="49"/>
      <c r="H255"/>
      <c r="I255"/>
      <c r="L255" s="10"/>
    </row>
    <row r="256" spans="1:12" s="8" customFormat="1">
      <c r="A256" s="17"/>
      <c r="B256" s="15"/>
      <c r="C256" s="14"/>
      <c r="D256" s="14"/>
      <c r="F256" s="7"/>
      <c r="G256" s="49"/>
      <c r="H256"/>
      <c r="I256"/>
      <c r="L256" s="10"/>
    </row>
    <row r="257" spans="1:12" s="8" customFormat="1">
      <c r="A257" s="17"/>
      <c r="B257" s="15"/>
      <c r="C257" s="14"/>
      <c r="D257" s="14"/>
      <c r="F257" s="7"/>
      <c r="G257" s="49"/>
      <c r="H257"/>
      <c r="I257"/>
      <c r="L257" s="10"/>
    </row>
    <row r="258" spans="1:12" s="8" customFormat="1">
      <c r="A258" s="17"/>
      <c r="B258" s="15"/>
      <c r="C258" s="14"/>
      <c r="D258" s="14"/>
      <c r="F258" s="7"/>
      <c r="G258" s="49"/>
      <c r="H258"/>
      <c r="I258"/>
      <c r="L258" s="10"/>
    </row>
    <row r="259" spans="1:12" s="8" customFormat="1">
      <c r="A259" s="17"/>
      <c r="B259" s="15"/>
      <c r="C259" s="14"/>
      <c r="D259" s="14"/>
      <c r="F259" s="7"/>
      <c r="G259" s="49"/>
      <c r="H259"/>
      <c r="I259"/>
      <c r="L259" s="10"/>
    </row>
    <row r="260" spans="1:12" s="8" customFormat="1">
      <c r="A260" s="17"/>
      <c r="B260" s="15"/>
      <c r="C260" s="14"/>
      <c r="D260" s="14"/>
      <c r="F260" s="7"/>
      <c r="G260" s="49"/>
      <c r="H260"/>
      <c r="I260"/>
      <c r="L260" s="10"/>
    </row>
    <row r="261" spans="1:12" s="8" customFormat="1">
      <c r="A261" s="17"/>
      <c r="B261" s="15"/>
      <c r="C261" s="14"/>
      <c r="D261" s="14"/>
      <c r="F261" s="7"/>
      <c r="G261" s="49"/>
      <c r="H261"/>
      <c r="I261"/>
      <c r="L261" s="10"/>
    </row>
    <row r="262" spans="1:12" s="8" customFormat="1">
      <c r="A262" s="17"/>
      <c r="B262" s="15"/>
      <c r="C262" s="14"/>
      <c r="D262" s="14"/>
      <c r="F262" s="7"/>
      <c r="G262" s="49"/>
      <c r="H262"/>
      <c r="I262"/>
      <c r="L262" s="10"/>
    </row>
    <row r="263" spans="1:12" s="8" customFormat="1">
      <c r="A263" s="17"/>
      <c r="B263" s="15"/>
      <c r="C263" s="14"/>
      <c r="D263" s="14"/>
      <c r="F263" s="7"/>
      <c r="G263" s="49"/>
      <c r="H263"/>
      <c r="I263"/>
      <c r="L263" s="10"/>
    </row>
    <row r="264" spans="1:12" s="8" customFormat="1">
      <c r="A264" s="17"/>
      <c r="B264" s="15"/>
      <c r="C264" s="14"/>
      <c r="D264" s="14"/>
      <c r="F264" s="7"/>
      <c r="G264" s="49"/>
      <c r="H264"/>
      <c r="I264"/>
      <c r="L264" s="10"/>
    </row>
    <row r="265" spans="1:12" s="8" customFormat="1">
      <c r="A265" s="17"/>
      <c r="B265" s="15"/>
      <c r="C265" s="14"/>
      <c r="D265" s="14"/>
      <c r="F265" s="7"/>
      <c r="G265" s="49"/>
      <c r="H265"/>
      <c r="I265"/>
      <c r="L265" s="10"/>
    </row>
    <row r="266" spans="1:12" s="8" customFormat="1">
      <c r="A266" s="17"/>
      <c r="B266" s="15"/>
      <c r="C266" s="14"/>
      <c r="D266" s="14"/>
      <c r="F266" s="7"/>
      <c r="G266" s="49"/>
      <c r="H266"/>
      <c r="I266"/>
      <c r="L266" s="10"/>
    </row>
    <row r="267" spans="1:12" s="8" customFormat="1">
      <c r="A267" s="17"/>
      <c r="B267" s="15"/>
      <c r="C267" s="14"/>
      <c r="D267" s="14"/>
      <c r="F267" s="7"/>
      <c r="G267" s="49"/>
      <c r="H267"/>
      <c r="I267"/>
      <c r="L267" s="10"/>
    </row>
    <row r="268" spans="1:12" s="8" customFormat="1">
      <c r="A268" s="17"/>
      <c r="B268" s="15"/>
      <c r="C268" s="14"/>
      <c r="D268" s="14"/>
      <c r="F268" s="7"/>
      <c r="G268" s="49"/>
      <c r="H268"/>
      <c r="I268"/>
      <c r="L268" s="10"/>
    </row>
    <row r="269" spans="1:12" s="8" customFormat="1">
      <c r="A269" s="17"/>
      <c r="B269" s="15"/>
      <c r="C269" s="14"/>
      <c r="D269" s="14"/>
      <c r="F269" s="7"/>
      <c r="G269" s="49"/>
      <c r="H269"/>
      <c r="I269"/>
      <c r="L269" s="10"/>
    </row>
    <row r="270" spans="1:12" s="8" customFormat="1">
      <c r="A270" s="17"/>
      <c r="B270" s="15"/>
      <c r="C270" s="14"/>
      <c r="D270" s="14"/>
      <c r="F270" s="7"/>
      <c r="G270" s="49"/>
      <c r="H270"/>
      <c r="I270"/>
      <c r="L270" s="10"/>
    </row>
    <row r="271" spans="1:12" s="8" customFormat="1">
      <c r="A271" s="17"/>
      <c r="B271" s="15"/>
      <c r="C271" s="14"/>
      <c r="D271" s="14"/>
      <c r="F271" s="7"/>
      <c r="G271" s="49"/>
      <c r="H271"/>
      <c r="I271"/>
      <c r="L271" s="10"/>
    </row>
    <row r="272" spans="1:12" s="8" customFormat="1">
      <c r="A272" s="17"/>
      <c r="B272" s="15"/>
      <c r="C272" s="14"/>
      <c r="D272" s="14"/>
      <c r="F272" s="7"/>
      <c r="G272" s="49"/>
      <c r="H272"/>
      <c r="I272"/>
      <c r="L272" s="10"/>
    </row>
    <row r="273" spans="1:12" s="8" customFormat="1">
      <c r="A273" s="17"/>
      <c r="B273" s="15"/>
      <c r="C273" s="14"/>
      <c r="D273" s="14"/>
      <c r="F273" s="7"/>
      <c r="G273" s="49"/>
      <c r="H273"/>
      <c r="I273"/>
      <c r="L273" s="10"/>
    </row>
    <row r="274" spans="1:12" s="8" customFormat="1">
      <c r="A274" s="17"/>
      <c r="B274" s="15"/>
      <c r="C274" s="14"/>
      <c r="D274" s="14"/>
      <c r="F274" s="7"/>
      <c r="G274" s="49"/>
      <c r="H274"/>
      <c r="I274"/>
      <c r="L274" s="10"/>
    </row>
    <row r="275" spans="1:12" s="8" customFormat="1">
      <c r="A275" s="17"/>
      <c r="B275" s="15"/>
      <c r="C275" s="14"/>
      <c r="D275" s="14"/>
      <c r="F275" s="7"/>
      <c r="G275" s="49"/>
      <c r="H275"/>
      <c r="I275"/>
      <c r="L275" s="10"/>
    </row>
    <row r="276" spans="1:12" s="8" customFormat="1">
      <c r="A276" s="17"/>
      <c r="B276" s="15"/>
      <c r="C276" s="14"/>
      <c r="D276" s="14"/>
      <c r="F276" s="7"/>
      <c r="G276" s="49"/>
      <c r="H276"/>
      <c r="I276"/>
      <c r="L276" s="10"/>
    </row>
    <row r="277" spans="1:12" s="8" customFormat="1">
      <c r="A277" s="17"/>
      <c r="B277" s="15"/>
      <c r="C277" s="14"/>
      <c r="D277" s="14"/>
      <c r="F277" s="7"/>
      <c r="G277" s="49"/>
      <c r="H277"/>
      <c r="I277"/>
      <c r="L277" s="10"/>
    </row>
    <row r="278" spans="1:12" s="8" customFormat="1">
      <c r="A278" s="17"/>
      <c r="B278" s="15"/>
      <c r="C278" s="14"/>
      <c r="D278" s="14"/>
      <c r="F278" s="7"/>
      <c r="G278" s="49"/>
      <c r="H278"/>
      <c r="I278"/>
      <c r="L278" s="10"/>
    </row>
    <row r="279" spans="1:12" s="8" customFormat="1">
      <c r="A279" s="17"/>
      <c r="B279" s="15"/>
      <c r="C279" s="14"/>
      <c r="D279" s="14"/>
      <c r="F279" s="7"/>
      <c r="G279" s="49"/>
      <c r="H279"/>
      <c r="I279"/>
      <c r="L279" s="10"/>
    </row>
    <row r="280" spans="1:12" s="8" customFormat="1">
      <c r="A280" s="17"/>
      <c r="B280" s="15"/>
      <c r="C280" s="14"/>
      <c r="D280" s="14"/>
      <c r="F280" s="7"/>
      <c r="G280" s="49"/>
      <c r="H280"/>
      <c r="I280"/>
      <c r="L280" s="10"/>
    </row>
    <row r="281" spans="1:12" s="8" customFormat="1">
      <c r="A281" s="17"/>
      <c r="B281" s="15"/>
      <c r="C281" s="14"/>
      <c r="D281" s="14"/>
      <c r="F281" s="7"/>
      <c r="G281" s="49"/>
      <c r="H281"/>
      <c r="I281"/>
      <c r="L281" s="10"/>
    </row>
    <row r="282" spans="1:12" s="8" customFormat="1">
      <c r="A282" s="17"/>
      <c r="B282" s="15"/>
      <c r="C282" s="14"/>
      <c r="D282" s="14"/>
      <c r="F282" s="7"/>
      <c r="G282" s="49"/>
      <c r="H282"/>
      <c r="I282"/>
      <c r="L282" s="10"/>
    </row>
    <row r="283" spans="1:12" s="8" customFormat="1">
      <c r="A283" s="17"/>
      <c r="B283" s="15"/>
      <c r="C283" s="14"/>
      <c r="D283" s="14"/>
      <c r="F283" s="7"/>
      <c r="G283" s="49"/>
      <c r="H283"/>
      <c r="I283"/>
      <c r="L283" s="10"/>
    </row>
    <row r="284" spans="1:12" s="8" customFormat="1">
      <c r="A284" s="17"/>
      <c r="B284" s="15"/>
      <c r="C284" s="14"/>
      <c r="D284" s="14"/>
      <c r="F284" s="7"/>
      <c r="G284" s="49"/>
      <c r="H284"/>
      <c r="I284"/>
      <c r="L284" s="10"/>
    </row>
    <row r="285" spans="1:12" s="8" customFormat="1">
      <c r="A285" s="17"/>
      <c r="B285" s="15"/>
      <c r="C285" s="14"/>
      <c r="D285" s="14"/>
      <c r="F285" s="7"/>
      <c r="G285" s="49"/>
      <c r="H285"/>
      <c r="I285"/>
      <c r="L285" s="10"/>
    </row>
    <row r="286" spans="1:12" s="8" customFormat="1">
      <c r="A286" s="17"/>
      <c r="B286" s="15"/>
      <c r="C286" s="14"/>
      <c r="D286" s="14"/>
      <c r="F286" s="7"/>
      <c r="G286" s="49"/>
      <c r="H286"/>
      <c r="I286"/>
      <c r="L286" s="10"/>
    </row>
    <row r="287" spans="1:12" s="8" customFormat="1">
      <c r="A287" s="17"/>
      <c r="B287" s="15"/>
      <c r="C287" s="14"/>
      <c r="D287" s="14"/>
      <c r="F287" s="7"/>
      <c r="G287" s="49"/>
      <c r="H287"/>
      <c r="I287"/>
      <c r="L287" s="10"/>
    </row>
    <row r="288" spans="1:12" s="8" customFormat="1">
      <c r="A288" s="17"/>
      <c r="B288" s="15"/>
      <c r="C288" s="14"/>
      <c r="D288" s="14"/>
      <c r="F288" s="7"/>
      <c r="G288" s="49"/>
      <c r="H288"/>
      <c r="I288"/>
      <c r="L288" s="10"/>
    </row>
    <row r="289" spans="1:12" s="8" customFormat="1">
      <c r="A289" s="17"/>
      <c r="B289" s="15"/>
      <c r="C289" s="14"/>
      <c r="D289" s="14"/>
      <c r="F289" s="7"/>
      <c r="G289" s="49"/>
      <c r="H289"/>
      <c r="I289"/>
      <c r="L289" s="10"/>
    </row>
    <row r="290" spans="1:12" s="8" customFormat="1">
      <c r="A290" s="17"/>
      <c r="B290" s="15"/>
      <c r="C290" s="14"/>
      <c r="D290" s="14"/>
      <c r="F290" s="7"/>
      <c r="G290" s="49"/>
      <c r="H290"/>
      <c r="I290"/>
      <c r="L290" s="10"/>
    </row>
    <row r="291" spans="1:12" s="8" customFormat="1">
      <c r="A291" s="17"/>
      <c r="B291" s="15"/>
      <c r="C291" s="14"/>
      <c r="D291" s="14"/>
      <c r="F291" s="7"/>
      <c r="G291" s="49"/>
      <c r="H291"/>
      <c r="I291"/>
      <c r="L291" s="10"/>
    </row>
    <row r="292" spans="1:12" s="8" customFormat="1">
      <c r="A292" s="17"/>
      <c r="B292" s="15"/>
      <c r="C292" s="14"/>
      <c r="D292" s="14"/>
      <c r="F292" s="7"/>
      <c r="G292" s="49"/>
      <c r="H292"/>
      <c r="I292"/>
      <c r="L292" s="10"/>
    </row>
    <row r="293" spans="1:12" s="8" customFormat="1">
      <c r="A293" s="17"/>
      <c r="B293" s="15"/>
      <c r="C293" s="14"/>
      <c r="D293" s="14"/>
      <c r="F293" s="7"/>
      <c r="G293" s="49"/>
      <c r="H293"/>
      <c r="I293"/>
      <c r="L293" s="10"/>
    </row>
    <row r="294" spans="1:12" s="8" customFormat="1">
      <c r="A294" s="17"/>
      <c r="B294" s="15"/>
      <c r="C294" s="14"/>
      <c r="D294" s="14"/>
      <c r="F294" s="7"/>
      <c r="G294" s="49"/>
      <c r="H294"/>
      <c r="I294"/>
      <c r="L294" s="10"/>
    </row>
    <row r="295" spans="1:12" s="8" customFormat="1">
      <c r="A295" s="17"/>
      <c r="B295" s="15"/>
      <c r="C295" s="14"/>
      <c r="D295" s="14"/>
      <c r="F295" s="7"/>
      <c r="G295" s="49"/>
      <c r="H295"/>
      <c r="I295"/>
      <c r="L295" s="10"/>
    </row>
    <row r="296" spans="1:12" s="8" customFormat="1">
      <c r="A296" s="17"/>
      <c r="B296" s="15"/>
      <c r="C296" s="14"/>
      <c r="D296" s="14"/>
      <c r="F296" s="7"/>
      <c r="G296" s="49"/>
      <c r="H296"/>
      <c r="I296"/>
      <c r="L296" s="10"/>
    </row>
    <row r="297" spans="1:12" s="8" customFormat="1">
      <c r="A297" s="17"/>
      <c r="B297" s="15"/>
      <c r="C297" s="14"/>
      <c r="D297" s="14"/>
      <c r="F297" s="7"/>
      <c r="G297" s="49"/>
      <c r="H297"/>
      <c r="I297"/>
      <c r="L297" s="10"/>
    </row>
    <row r="298" spans="1:12" s="8" customFormat="1">
      <c r="A298" s="17"/>
      <c r="B298" s="15"/>
      <c r="C298" s="14"/>
      <c r="D298" s="14"/>
      <c r="F298" s="7"/>
      <c r="G298" s="49"/>
      <c r="H298"/>
      <c r="I298"/>
      <c r="L298" s="10"/>
    </row>
    <row r="299" spans="1:12" s="8" customFormat="1">
      <c r="A299" s="17"/>
      <c r="B299" s="15"/>
      <c r="C299" s="14"/>
      <c r="D299" s="14"/>
      <c r="F299" s="7"/>
      <c r="G299" s="49"/>
      <c r="H299"/>
      <c r="I299"/>
      <c r="L299" s="10"/>
    </row>
    <row r="300" spans="1:12" s="8" customFormat="1">
      <c r="A300" s="17"/>
      <c r="B300" s="15"/>
      <c r="C300" s="14"/>
      <c r="D300" s="14"/>
      <c r="F300" s="7"/>
      <c r="G300" s="49"/>
      <c r="H300"/>
      <c r="I300"/>
      <c r="L300" s="10"/>
    </row>
    <row r="301" spans="1:12" s="8" customFormat="1">
      <c r="A301" s="17"/>
      <c r="B301" s="15"/>
      <c r="C301" s="14"/>
      <c r="D301" s="14"/>
      <c r="F301" s="7"/>
      <c r="G301" s="49"/>
      <c r="H301"/>
      <c r="I301"/>
      <c r="L301" s="10"/>
    </row>
    <row r="302" spans="1:12" s="8" customFormat="1">
      <c r="A302" s="17"/>
      <c r="B302" s="15"/>
      <c r="C302" s="14"/>
      <c r="D302" s="14"/>
      <c r="F302" s="7"/>
      <c r="G302" s="49"/>
      <c r="H302"/>
      <c r="I302"/>
      <c r="L302" s="10"/>
    </row>
    <row r="303" spans="1:12" s="8" customFormat="1">
      <c r="A303" s="17"/>
      <c r="B303" s="15"/>
      <c r="C303" s="14"/>
      <c r="D303" s="14"/>
      <c r="F303" s="7"/>
      <c r="G303" s="49"/>
      <c r="H303"/>
      <c r="I303"/>
      <c r="L303" s="10"/>
    </row>
    <row r="304" spans="1:12" s="8" customFormat="1">
      <c r="A304" s="17"/>
      <c r="B304" s="15"/>
      <c r="C304" s="14"/>
      <c r="D304" s="14"/>
      <c r="F304" s="7"/>
      <c r="G304" s="49"/>
      <c r="H304"/>
      <c r="I304"/>
      <c r="L304" s="10"/>
    </row>
    <row r="305" spans="1:12" s="8" customFormat="1">
      <c r="A305" s="17"/>
      <c r="B305" s="15"/>
      <c r="C305" s="14"/>
      <c r="D305" s="14"/>
      <c r="F305" s="7"/>
      <c r="G305" s="49"/>
      <c r="H305"/>
      <c r="I305"/>
      <c r="L305" s="10"/>
    </row>
    <row r="306" spans="1:12" s="8" customFormat="1">
      <c r="A306" s="17"/>
      <c r="B306" s="15"/>
      <c r="C306" s="14"/>
      <c r="D306" s="14"/>
      <c r="F306" s="7"/>
      <c r="G306" s="49"/>
      <c r="H306"/>
      <c r="I306"/>
      <c r="L306" s="10"/>
    </row>
    <row r="307" spans="1:12" s="8" customFormat="1">
      <c r="A307" s="17"/>
      <c r="B307" s="15"/>
      <c r="C307" s="14"/>
      <c r="D307" s="14"/>
      <c r="F307" s="7"/>
      <c r="G307" s="49"/>
      <c r="H307"/>
      <c r="I307"/>
      <c r="L307" s="10"/>
    </row>
    <row r="308" spans="1:12" s="8" customFormat="1">
      <c r="A308" s="17"/>
      <c r="B308" s="15"/>
      <c r="C308" s="14"/>
      <c r="D308" s="14"/>
      <c r="F308" s="7"/>
      <c r="G308" s="49"/>
      <c r="H308"/>
      <c r="I308"/>
      <c r="L308" s="10"/>
    </row>
    <row r="309" spans="1:12" s="8" customFormat="1">
      <c r="A309" s="17"/>
      <c r="B309" s="15"/>
      <c r="C309" s="14"/>
      <c r="D309" s="14"/>
      <c r="F309" s="7"/>
      <c r="G309" s="49"/>
      <c r="H309"/>
      <c r="I309"/>
      <c r="L309" s="10"/>
    </row>
    <row r="310" spans="1:12" s="8" customFormat="1">
      <c r="A310" s="17"/>
      <c r="B310" s="15"/>
      <c r="C310" s="14"/>
      <c r="D310" s="14"/>
      <c r="F310" s="7"/>
      <c r="G310" s="49"/>
      <c r="H310"/>
      <c r="I310"/>
      <c r="L310" s="10"/>
    </row>
    <row r="311" spans="1:12" s="8" customFormat="1">
      <c r="A311" s="17"/>
      <c r="B311" s="15"/>
      <c r="C311" s="14"/>
      <c r="D311" s="14"/>
      <c r="F311" s="7"/>
      <c r="G311" s="49"/>
      <c r="H311"/>
      <c r="I311"/>
      <c r="L311" s="10"/>
    </row>
    <row r="312" spans="1:12" s="8" customFormat="1">
      <c r="A312" s="17"/>
      <c r="B312" s="15"/>
      <c r="C312" s="14"/>
      <c r="D312" s="14"/>
      <c r="F312" s="7"/>
      <c r="G312" s="49"/>
      <c r="H312"/>
      <c r="I312"/>
      <c r="L312" s="10"/>
    </row>
    <row r="313" spans="1:12" s="8" customFormat="1">
      <c r="A313" s="17"/>
      <c r="B313" s="15"/>
      <c r="C313" s="14"/>
      <c r="D313" s="14"/>
      <c r="F313" s="7"/>
      <c r="G313" s="49"/>
      <c r="H313"/>
      <c r="I313"/>
      <c r="L313" s="10"/>
    </row>
    <row r="314" spans="1:12" s="8" customFormat="1">
      <c r="A314" s="17"/>
      <c r="B314" s="15"/>
      <c r="C314" s="14"/>
      <c r="D314" s="14"/>
      <c r="F314" s="7"/>
      <c r="G314" s="49"/>
      <c r="H314"/>
      <c r="I314"/>
      <c r="L314" s="10"/>
    </row>
    <row r="315" spans="1:12" s="8" customFormat="1">
      <c r="A315" s="17"/>
      <c r="B315" s="15"/>
      <c r="C315" s="14"/>
      <c r="D315" s="14"/>
      <c r="F315" s="7"/>
      <c r="G315" s="49"/>
      <c r="H315"/>
      <c r="I315"/>
      <c r="L315" s="10"/>
    </row>
    <row r="316" spans="1:12" s="8" customFormat="1">
      <c r="A316" s="17"/>
      <c r="B316" s="15"/>
      <c r="C316" s="14"/>
      <c r="D316" s="14"/>
      <c r="F316" s="7"/>
      <c r="G316" s="49"/>
      <c r="H316"/>
      <c r="I316"/>
      <c r="L316" s="10"/>
    </row>
    <row r="317" spans="1:12" s="8" customFormat="1">
      <c r="A317" s="17"/>
      <c r="B317" s="15"/>
      <c r="C317" s="14"/>
      <c r="D317" s="14"/>
      <c r="F317" s="7"/>
      <c r="G317" s="49"/>
      <c r="H317"/>
      <c r="I317"/>
      <c r="L317" s="10"/>
    </row>
    <row r="318" spans="1:12" s="8" customFormat="1">
      <c r="A318" s="17"/>
      <c r="B318" s="15"/>
      <c r="C318" s="14"/>
      <c r="D318" s="14"/>
      <c r="F318" s="7"/>
      <c r="G318" s="49"/>
      <c r="H318"/>
      <c r="I318"/>
      <c r="L318" s="10"/>
    </row>
    <row r="319" spans="1:12" s="8" customFormat="1">
      <c r="A319" s="17"/>
      <c r="B319" s="15"/>
      <c r="C319" s="14"/>
      <c r="D319" s="14"/>
      <c r="F319" s="7"/>
      <c r="G319" s="49"/>
      <c r="H319"/>
      <c r="I319"/>
      <c r="L319" s="10"/>
    </row>
    <row r="320" spans="1:12" s="8" customFormat="1">
      <c r="A320" s="17"/>
      <c r="B320" s="15"/>
      <c r="C320" s="14"/>
      <c r="D320" s="14"/>
      <c r="F320" s="7"/>
      <c r="G320" s="49"/>
      <c r="H320"/>
      <c r="I320"/>
      <c r="L320" s="10"/>
    </row>
    <row r="321" spans="1:12" s="8" customFormat="1">
      <c r="A321" s="17"/>
      <c r="B321" s="15"/>
      <c r="C321" s="14"/>
      <c r="D321" s="14"/>
      <c r="F321" s="7"/>
      <c r="G321" s="49"/>
      <c r="H321"/>
      <c r="I321"/>
      <c r="L321" s="10"/>
    </row>
    <row r="322" spans="1:12" s="8" customFormat="1">
      <c r="A322" s="17"/>
      <c r="B322" s="15"/>
      <c r="C322" s="14"/>
      <c r="D322" s="14"/>
      <c r="F322" s="7"/>
      <c r="G322" s="49"/>
      <c r="H322"/>
      <c r="I322"/>
      <c r="L322" s="10"/>
    </row>
    <row r="323" spans="1:12" s="8" customFormat="1">
      <c r="A323" s="17"/>
      <c r="B323" s="15"/>
      <c r="C323" s="14"/>
      <c r="D323" s="14"/>
      <c r="F323" s="7"/>
      <c r="G323" s="49"/>
      <c r="H323"/>
      <c r="I323"/>
      <c r="L323" s="10"/>
    </row>
    <row r="324" spans="1:12" s="8" customFormat="1">
      <c r="A324" s="17"/>
      <c r="B324" s="15"/>
      <c r="C324" s="14"/>
      <c r="D324" s="14"/>
      <c r="F324" s="7"/>
      <c r="G324" s="49"/>
      <c r="H324"/>
      <c r="I324"/>
      <c r="L324" s="10"/>
    </row>
    <row r="325" spans="1:12" s="8" customFormat="1">
      <c r="A325" s="17"/>
      <c r="B325" s="15"/>
      <c r="C325" s="14"/>
      <c r="D325" s="14"/>
      <c r="F325" s="7"/>
      <c r="G325" s="49"/>
      <c r="H325"/>
      <c r="I325"/>
      <c r="L325" s="10"/>
    </row>
    <row r="326" spans="1:12" s="8" customFormat="1">
      <c r="A326" s="17"/>
      <c r="B326" s="15"/>
      <c r="C326" s="14"/>
      <c r="D326" s="14"/>
      <c r="F326" s="7"/>
      <c r="G326" s="49"/>
      <c r="H326"/>
      <c r="I326"/>
      <c r="L326" s="10"/>
    </row>
    <row r="327" spans="1:12" s="8" customFormat="1">
      <c r="A327" s="17"/>
      <c r="B327" s="15"/>
      <c r="C327" s="14"/>
      <c r="D327" s="14"/>
      <c r="F327" s="7"/>
      <c r="G327" s="49"/>
      <c r="H327"/>
      <c r="I327"/>
      <c r="L327" s="10"/>
    </row>
    <row r="328" spans="1:12" s="8" customFormat="1">
      <c r="A328" s="17"/>
      <c r="B328" s="15"/>
      <c r="C328" s="14"/>
      <c r="D328" s="14"/>
      <c r="F328" s="7"/>
      <c r="G328" s="49"/>
      <c r="H328"/>
      <c r="I328"/>
      <c r="L328" s="10"/>
    </row>
    <row r="329" spans="1:12" s="8" customFormat="1">
      <c r="A329" s="17"/>
      <c r="B329" s="15"/>
      <c r="C329" s="14"/>
      <c r="D329" s="14"/>
      <c r="F329" s="7"/>
      <c r="G329" s="49"/>
      <c r="H329"/>
      <c r="I329"/>
      <c r="L329" s="10"/>
    </row>
    <row r="330" spans="1:12" s="8" customFormat="1">
      <c r="A330" s="17"/>
      <c r="B330" s="15"/>
      <c r="C330" s="14"/>
      <c r="D330" s="14"/>
      <c r="F330" s="7"/>
      <c r="G330" s="49"/>
      <c r="H330"/>
      <c r="I330"/>
      <c r="L330" s="10"/>
    </row>
    <row r="331" spans="1:12" s="8" customFormat="1">
      <c r="A331" s="17"/>
      <c r="B331" s="15"/>
      <c r="C331" s="14"/>
      <c r="D331" s="14"/>
      <c r="F331" s="7"/>
      <c r="G331" s="49"/>
      <c r="H331"/>
      <c r="I331"/>
      <c r="L331" s="10"/>
    </row>
    <row r="332" spans="1:12" s="8" customFormat="1">
      <c r="A332" s="17"/>
      <c r="B332" s="15"/>
      <c r="C332" s="14"/>
      <c r="D332" s="14"/>
      <c r="F332" s="7"/>
      <c r="G332" s="49"/>
      <c r="H332"/>
      <c r="I332"/>
      <c r="L332" s="10"/>
    </row>
    <row r="333" spans="1:12" s="8" customFormat="1">
      <c r="A333" s="17"/>
      <c r="B333" s="15"/>
      <c r="C333" s="14"/>
      <c r="D333" s="14"/>
      <c r="F333" s="7"/>
      <c r="G333" s="49"/>
      <c r="H333"/>
      <c r="I333"/>
      <c r="L333" s="10"/>
    </row>
    <row r="334" spans="1:12" s="8" customFormat="1">
      <c r="A334" s="17"/>
      <c r="B334" s="15"/>
      <c r="C334" s="14"/>
      <c r="D334" s="14"/>
      <c r="F334" s="7"/>
      <c r="G334" s="49"/>
      <c r="H334"/>
      <c r="I334"/>
      <c r="L334" s="10"/>
    </row>
    <row r="335" spans="1:12" s="8" customFormat="1">
      <c r="A335" s="17"/>
      <c r="B335" s="15"/>
      <c r="C335" s="14"/>
      <c r="D335" s="14"/>
      <c r="F335" s="7"/>
      <c r="G335" s="49"/>
      <c r="H335"/>
      <c r="I335"/>
      <c r="L335" s="10"/>
    </row>
    <row r="336" spans="1:12" s="8" customFormat="1">
      <c r="A336" s="17"/>
      <c r="B336" s="15"/>
      <c r="C336" s="14"/>
      <c r="D336" s="14"/>
      <c r="F336" s="7"/>
      <c r="G336" s="49"/>
      <c r="H336"/>
      <c r="I336"/>
      <c r="L336" s="10"/>
    </row>
    <row r="337" spans="1:12" s="8" customFormat="1">
      <c r="A337" s="17"/>
      <c r="B337" s="15"/>
      <c r="C337" s="14"/>
      <c r="D337" s="14"/>
      <c r="F337" s="7"/>
      <c r="G337" s="49"/>
      <c r="H337"/>
      <c r="I337"/>
      <c r="L337" s="10"/>
    </row>
    <row r="338" spans="1:12" s="8" customFormat="1">
      <c r="A338" s="17"/>
      <c r="B338" s="15"/>
      <c r="C338" s="14"/>
      <c r="D338" s="14"/>
      <c r="F338" s="7"/>
      <c r="G338" s="49"/>
      <c r="H338"/>
      <c r="I338"/>
      <c r="L338" s="10"/>
    </row>
    <row r="339" spans="1:12" s="8" customFormat="1">
      <c r="A339" s="17"/>
      <c r="B339" s="15"/>
      <c r="C339" s="14"/>
      <c r="D339" s="14"/>
      <c r="F339" s="7"/>
      <c r="G339" s="49"/>
      <c r="H339"/>
      <c r="I339"/>
      <c r="L339" s="10"/>
    </row>
    <row r="340" spans="1:12" s="8" customFormat="1">
      <c r="A340" s="17"/>
      <c r="B340" s="15"/>
      <c r="C340" s="14"/>
      <c r="D340" s="14"/>
      <c r="F340" s="7"/>
      <c r="G340" s="49"/>
      <c r="H340"/>
      <c r="I340"/>
      <c r="L340" s="10"/>
    </row>
    <row r="341" spans="1:12" s="8" customFormat="1">
      <c r="A341" s="17"/>
      <c r="B341" s="15"/>
      <c r="C341" s="14"/>
      <c r="D341" s="14"/>
      <c r="F341" s="7"/>
      <c r="G341" s="49"/>
      <c r="H341"/>
      <c r="I341"/>
      <c r="L341" s="10"/>
    </row>
    <row r="342" spans="1:12" s="8" customFormat="1">
      <c r="A342" s="17"/>
      <c r="B342" s="15"/>
      <c r="C342" s="14"/>
      <c r="D342" s="14"/>
      <c r="F342" s="7"/>
      <c r="G342" s="49"/>
      <c r="H342"/>
      <c r="I342"/>
      <c r="L342" s="10"/>
    </row>
    <row r="343" spans="1:12" s="8" customFormat="1">
      <c r="A343" s="17"/>
      <c r="B343" s="15"/>
      <c r="C343" s="14"/>
      <c r="D343" s="14"/>
      <c r="F343" s="7"/>
      <c r="G343" s="49"/>
      <c r="H343"/>
      <c r="I343"/>
      <c r="L343" s="10"/>
    </row>
    <row r="344" spans="1:12" s="8" customFormat="1">
      <c r="A344" s="17"/>
      <c r="B344" s="15"/>
      <c r="C344" s="14"/>
      <c r="D344" s="14"/>
      <c r="F344" s="7"/>
      <c r="G344" s="49"/>
      <c r="H344"/>
      <c r="I344"/>
      <c r="L344" s="10"/>
    </row>
    <row r="345" spans="1:12" s="8" customFormat="1">
      <c r="A345" s="17"/>
      <c r="B345" s="15"/>
      <c r="C345" s="14"/>
      <c r="D345" s="14"/>
      <c r="F345" s="7"/>
      <c r="G345" s="49"/>
      <c r="H345"/>
      <c r="I345"/>
      <c r="L345" s="10"/>
    </row>
    <row r="346" spans="1:12" s="8" customFormat="1">
      <c r="A346" s="17"/>
      <c r="B346" s="15"/>
      <c r="C346" s="14"/>
      <c r="D346" s="14"/>
      <c r="F346" s="7"/>
      <c r="G346" s="49"/>
      <c r="H346"/>
      <c r="I346"/>
      <c r="L346" s="10"/>
    </row>
    <row r="347" spans="1:12" s="8" customFormat="1">
      <c r="A347" s="17"/>
      <c r="B347" s="15"/>
      <c r="C347" s="14"/>
      <c r="D347" s="14"/>
      <c r="F347" s="7"/>
      <c r="G347" s="49"/>
      <c r="H347"/>
      <c r="I347"/>
      <c r="L347" s="10"/>
    </row>
    <row r="348" spans="1:12" s="8" customFormat="1">
      <c r="A348" s="17"/>
      <c r="B348" s="15"/>
      <c r="C348" s="14"/>
      <c r="D348" s="14"/>
      <c r="F348" s="7"/>
      <c r="G348" s="49"/>
      <c r="H348"/>
      <c r="I348"/>
      <c r="L348" s="10"/>
    </row>
    <row r="349" spans="1:12" s="8" customFormat="1">
      <c r="A349" s="17"/>
      <c r="B349" s="15"/>
      <c r="C349" s="14"/>
      <c r="D349" s="14"/>
      <c r="F349" s="7"/>
      <c r="G349" s="49"/>
      <c r="H349"/>
      <c r="I349"/>
      <c r="L349" s="10"/>
    </row>
    <row r="350" spans="1:12" s="8" customFormat="1">
      <c r="A350" s="17"/>
      <c r="B350" s="15"/>
      <c r="C350" s="14"/>
      <c r="D350" s="14"/>
      <c r="F350" s="7"/>
      <c r="G350" s="49"/>
      <c r="H350"/>
      <c r="I350"/>
      <c r="L350" s="10"/>
    </row>
    <row r="351" spans="1:12" s="8" customFormat="1">
      <c r="A351" s="17"/>
      <c r="B351" s="15"/>
      <c r="C351" s="14"/>
      <c r="D351" s="14"/>
      <c r="F351" s="7"/>
      <c r="G351" s="49"/>
      <c r="H351"/>
      <c r="I351"/>
      <c r="L351" s="10"/>
    </row>
    <row r="352" spans="1:12" s="8" customFormat="1">
      <c r="A352" s="17"/>
      <c r="B352" s="15"/>
      <c r="C352" s="14"/>
      <c r="D352" s="14"/>
      <c r="F352" s="7"/>
      <c r="G352" s="49"/>
      <c r="H352"/>
      <c r="I352"/>
      <c r="L352" s="10"/>
    </row>
    <row r="353" spans="1:12" s="8" customFormat="1">
      <c r="A353" s="17"/>
      <c r="B353" s="15"/>
      <c r="C353" s="14"/>
      <c r="D353" s="14"/>
      <c r="F353" s="7"/>
      <c r="G353" s="49"/>
      <c r="H353"/>
      <c r="I353"/>
      <c r="L353" s="10"/>
    </row>
    <row r="354" spans="1:12" s="8" customFormat="1">
      <c r="A354" s="17"/>
      <c r="B354" s="15"/>
      <c r="C354" s="14"/>
      <c r="D354" s="14"/>
      <c r="F354" s="7"/>
      <c r="G354" s="49"/>
      <c r="H354"/>
      <c r="I354"/>
      <c r="L354" s="10"/>
    </row>
    <row r="355" spans="1:12" s="8" customFormat="1">
      <c r="A355" s="17"/>
      <c r="B355" s="15"/>
      <c r="C355" s="14"/>
      <c r="D355" s="14"/>
      <c r="F355" s="7"/>
      <c r="G355" s="49"/>
      <c r="H355"/>
      <c r="I355"/>
      <c r="L355" s="10"/>
    </row>
    <row r="356" spans="1:12" s="8" customFormat="1">
      <c r="A356" s="17"/>
      <c r="B356" s="15"/>
      <c r="C356" s="14"/>
      <c r="D356" s="14"/>
      <c r="F356" s="7"/>
      <c r="G356" s="49"/>
      <c r="H356"/>
      <c r="I356"/>
      <c r="L356" s="10"/>
    </row>
    <row r="357" spans="1:12" s="8" customFormat="1">
      <c r="A357" s="17"/>
      <c r="B357" s="15"/>
      <c r="C357" s="14"/>
      <c r="D357" s="14"/>
      <c r="F357" s="7"/>
      <c r="G357" s="49"/>
      <c r="H357"/>
      <c r="I357"/>
      <c r="L357" s="10"/>
    </row>
    <row r="358" spans="1:12" s="8" customFormat="1">
      <c r="A358" s="17"/>
      <c r="B358" s="15"/>
      <c r="C358" s="14"/>
      <c r="D358" s="14"/>
      <c r="F358" s="7"/>
      <c r="G358" s="49"/>
      <c r="H358"/>
      <c r="I358"/>
      <c r="L358" s="10"/>
    </row>
    <row r="359" spans="1:12" s="8" customFormat="1">
      <c r="A359" s="17"/>
      <c r="B359" s="15"/>
      <c r="C359" s="14"/>
      <c r="D359" s="14"/>
      <c r="F359" s="7"/>
      <c r="G359" s="49"/>
      <c r="H359"/>
      <c r="I359"/>
      <c r="L359" s="10"/>
    </row>
    <row r="360" spans="1:12" s="8" customFormat="1">
      <c r="A360" s="17"/>
      <c r="B360" s="15"/>
      <c r="C360" s="14"/>
      <c r="D360" s="14"/>
      <c r="F360" s="7"/>
      <c r="G360" s="49"/>
      <c r="H360"/>
      <c r="I360"/>
      <c r="L360" s="10"/>
    </row>
    <row r="361" spans="1:12" s="8" customFormat="1">
      <c r="A361" s="17"/>
      <c r="B361" s="15"/>
      <c r="C361" s="14"/>
      <c r="D361" s="14"/>
      <c r="F361" s="7"/>
      <c r="G361" s="49"/>
      <c r="H361"/>
      <c r="I361"/>
      <c r="L361" s="10"/>
    </row>
    <row r="362" spans="1:12" s="8" customFormat="1">
      <c r="A362" s="17"/>
      <c r="B362" s="15"/>
      <c r="C362" s="14"/>
      <c r="D362" s="14"/>
      <c r="F362" s="7"/>
      <c r="G362" s="49"/>
      <c r="H362"/>
      <c r="I362"/>
      <c r="L362" s="10"/>
    </row>
    <row r="363" spans="1:12" s="8" customFormat="1">
      <c r="A363" s="17"/>
      <c r="B363" s="15"/>
      <c r="C363" s="14"/>
      <c r="D363" s="14"/>
      <c r="F363" s="7"/>
      <c r="G363" s="49"/>
      <c r="H363"/>
      <c r="I363"/>
      <c r="L363" s="10"/>
    </row>
    <row r="364" spans="1:12" s="8" customFormat="1">
      <c r="A364" s="17"/>
      <c r="B364" s="15"/>
      <c r="C364" s="14"/>
      <c r="D364" s="14"/>
      <c r="F364" s="7"/>
      <c r="G364" s="49"/>
      <c r="H364"/>
      <c r="I364"/>
      <c r="L364" s="10"/>
    </row>
    <row r="365" spans="1:12" s="8" customFormat="1">
      <c r="A365" s="17"/>
      <c r="B365" s="15"/>
      <c r="C365" s="14"/>
      <c r="D365" s="14"/>
      <c r="F365" s="7"/>
      <c r="G365" s="49"/>
      <c r="H365"/>
      <c r="I365"/>
      <c r="L365" s="10"/>
    </row>
    <row r="366" spans="1:12" s="8" customFormat="1">
      <c r="A366" s="17"/>
      <c r="B366" s="15"/>
      <c r="C366" s="14"/>
      <c r="D366" s="14"/>
      <c r="F366" s="7"/>
      <c r="G366" s="49"/>
      <c r="H366"/>
      <c r="I366"/>
      <c r="L366" s="10"/>
    </row>
    <row r="367" spans="1:12" s="8" customFormat="1">
      <c r="A367" s="17"/>
      <c r="B367" s="15"/>
      <c r="C367" s="14"/>
      <c r="D367" s="14"/>
      <c r="F367" s="7"/>
      <c r="G367" s="49"/>
      <c r="H367"/>
      <c r="I367"/>
      <c r="L367" s="10"/>
    </row>
    <row r="368" spans="1:12" s="8" customFormat="1">
      <c r="A368" s="17"/>
      <c r="B368" s="15"/>
      <c r="C368" s="14"/>
      <c r="D368" s="14"/>
      <c r="F368" s="7"/>
      <c r="G368" s="49"/>
      <c r="H368"/>
      <c r="I368"/>
      <c r="L368" s="10"/>
    </row>
    <row r="369" spans="1:12" s="8" customFormat="1">
      <c r="A369" s="17"/>
      <c r="B369" s="15"/>
      <c r="C369" s="14"/>
      <c r="D369" s="14"/>
      <c r="F369" s="7"/>
      <c r="G369" s="49"/>
      <c r="H369"/>
      <c r="I369"/>
      <c r="L369" s="10"/>
    </row>
    <row r="370" spans="1:12" s="8" customFormat="1">
      <c r="A370" s="17"/>
      <c r="B370" s="15"/>
      <c r="C370" s="14"/>
      <c r="D370" s="14"/>
      <c r="F370" s="7"/>
      <c r="G370" s="49"/>
      <c r="H370"/>
      <c r="I370"/>
      <c r="L370" s="10"/>
    </row>
    <row r="371" spans="1:12" s="8" customFormat="1">
      <c r="A371" s="17"/>
      <c r="B371" s="15"/>
      <c r="C371" s="14"/>
      <c r="D371" s="14"/>
      <c r="F371" s="7"/>
      <c r="G371" s="49"/>
      <c r="H371"/>
      <c r="I371"/>
      <c r="L371" s="10"/>
    </row>
    <row r="372" spans="1:12" s="8" customFormat="1">
      <c r="A372" s="17"/>
      <c r="B372" s="15"/>
      <c r="C372" s="14"/>
      <c r="D372" s="14"/>
      <c r="F372" s="7"/>
      <c r="G372" s="49"/>
      <c r="H372"/>
      <c r="I372"/>
      <c r="L372" s="10"/>
    </row>
    <row r="373" spans="1:12" s="8" customFormat="1">
      <c r="A373" s="17"/>
      <c r="B373" s="15"/>
      <c r="C373" s="14"/>
      <c r="D373" s="14"/>
      <c r="F373" s="7"/>
      <c r="G373" s="49"/>
      <c r="H373"/>
      <c r="I373"/>
      <c r="L373" s="10"/>
    </row>
    <row r="374" spans="1:12" s="8" customFormat="1">
      <c r="A374" s="17"/>
      <c r="B374" s="15"/>
      <c r="C374" s="14"/>
      <c r="D374" s="14"/>
      <c r="F374" s="7"/>
      <c r="G374" s="49"/>
      <c r="H374"/>
      <c r="I374"/>
      <c r="L374" s="10"/>
    </row>
    <row r="375" spans="1:12" s="8" customFormat="1">
      <c r="A375" s="17"/>
      <c r="B375" s="15"/>
      <c r="C375" s="14"/>
      <c r="D375" s="14"/>
      <c r="F375" s="7"/>
      <c r="G375" s="49"/>
      <c r="H375"/>
      <c r="I375"/>
      <c r="L375" s="10"/>
    </row>
    <row r="376" spans="1:12" s="8" customFormat="1">
      <c r="A376" s="17"/>
      <c r="B376" s="15"/>
      <c r="C376" s="14"/>
      <c r="D376" s="14"/>
      <c r="F376" s="7"/>
      <c r="G376" s="49"/>
      <c r="H376"/>
      <c r="I376"/>
      <c r="L376" s="10"/>
    </row>
    <row r="377" spans="1:12" s="8" customFormat="1">
      <c r="A377" s="17"/>
      <c r="B377" s="15"/>
      <c r="C377" s="14"/>
      <c r="D377" s="14"/>
      <c r="F377" s="7"/>
      <c r="G377" s="49"/>
      <c r="H377"/>
      <c r="I377"/>
      <c r="L377" s="10"/>
    </row>
    <row r="378" spans="1:12" s="8" customFormat="1">
      <c r="A378" s="17"/>
      <c r="B378" s="15"/>
      <c r="C378" s="14"/>
      <c r="D378" s="14"/>
      <c r="F378" s="7"/>
      <c r="G378" s="49"/>
      <c r="H378"/>
      <c r="I378"/>
      <c r="L378" s="10"/>
    </row>
    <row r="379" spans="1:12" s="8" customFormat="1">
      <c r="A379" s="17"/>
      <c r="B379" s="15"/>
      <c r="C379" s="14"/>
      <c r="D379" s="14"/>
      <c r="F379" s="7"/>
      <c r="G379" s="49"/>
      <c r="H379"/>
      <c r="I379"/>
      <c r="L379" s="10"/>
    </row>
    <row r="380" spans="1:12" s="8" customFormat="1">
      <c r="A380" s="17"/>
      <c r="B380" s="15"/>
      <c r="C380" s="14"/>
      <c r="D380" s="14"/>
      <c r="F380" s="7"/>
      <c r="G380" s="49"/>
      <c r="H380"/>
      <c r="I380"/>
      <c r="L380" s="10"/>
    </row>
    <row r="381" spans="1:12" s="8" customFormat="1">
      <c r="A381" s="17"/>
      <c r="B381" s="15"/>
      <c r="C381" s="14"/>
      <c r="D381" s="14"/>
      <c r="F381" s="7"/>
      <c r="G381" s="49"/>
      <c r="H381"/>
      <c r="I381"/>
      <c r="L381" s="10"/>
    </row>
    <row r="382" spans="1:12" s="8" customFormat="1">
      <c r="A382" s="17"/>
      <c r="B382" s="15"/>
      <c r="C382" s="14"/>
      <c r="D382" s="14"/>
      <c r="F382" s="7"/>
      <c r="G382" s="49"/>
      <c r="H382"/>
      <c r="I382"/>
      <c r="L382" s="10"/>
    </row>
    <row r="383" spans="1:12" s="8" customFormat="1">
      <c r="A383" s="17"/>
      <c r="B383" s="15"/>
      <c r="C383" s="14"/>
      <c r="D383" s="14"/>
      <c r="F383" s="7"/>
      <c r="G383" s="49"/>
      <c r="H383"/>
      <c r="I383"/>
      <c r="L383" s="10"/>
    </row>
    <row r="384" spans="1:12" s="8" customFormat="1">
      <c r="A384" s="17"/>
      <c r="B384" s="15"/>
      <c r="C384" s="14"/>
      <c r="D384" s="14"/>
      <c r="F384" s="7"/>
      <c r="G384" s="49"/>
      <c r="H384"/>
      <c r="I384"/>
      <c r="L384" s="10"/>
    </row>
    <row r="385" spans="1:12" s="8" customFormat="1">
      <c r="A385" s="17"/>
      <c r="B385" s="15"/>
      <c r="C385" s="14"/>
      <c r="D385" s="14"/>
      <c r="F385" s="7"/>
      <c r="G385" s="49"/>
      <c r="H385"/>
      <c r="I385"/>
      <c r="L385" s="10"/>
    </row>
    <row r="386" spans="1:12" s="8" customFormat="1">
      <c r="A386" s="17"/>
      <c r="B386" s="15"/>
      <c r="C386" s="14"/>
      <c r="D386" s="14"/>
      <c r="F386" s="7"/>
      <c r="G386" s="49"/>
      <c r="H386"/>
      <c r="I386"/>
      <c r="L386" s="10"/>
    </row>
    <row r="387" spans="1:12" s="8" customFormat="1">
      <c r="A387" s="17"/>
      <c r="B387" s="15"/>
      <c r="C387" s="14"/>
      <c r="D387" s="14"/>
      <c r="F387" s="7"/>
      <c r="G387" s="49"/>
      <c r="H387"/>
      <c r="I387"/>
      <c r="L387" s="10"/>
    </row>
    <row r="388" spans="1:12" s="8" customFormat="1">
      <c r="A388" s="17"/>
      <c r="B388" s="15"/>
      <c r="C388" s="14"/>
      <c r="D388" s="14"/>
      <c r="F388" s="7"/>
      <c r="G388" s="49"/>
      <c r="H388"/>
      <c r="I388"/>
      <c r="L388" s="10"/>
    </row>
    <row r="389" spans="1:12" s="8" customFormat="1">
      <c r="A389" s="17"/>
      <c r="B389" s="15"/>
      <c r="C389" s="14"/>
      <c r="D389" s="14"/>
      <c r="F389" s="7"/>
      <c r="G389" s="49"/>
      <c r="H389"/>
      <c r="I389"/>
      <c r="L389" s="10"/>
    </row>
    <row r="390" spans="1:12" s="8" customFormat="1">
      <c r="A390" s="17"/>
      <c r="B390" s="15"/>
      <c r="C390" s="14"/>
      <c r="D390" s="14"/>
      <c r="F390" s="7"/>
      <c r="G390" s="49"/>
      <c r="H390"/>
      <c r="I390"/>
      <c r="L390" s="10"/>
    </row>
    <row r="391" spans="1:12" s="8" customFormat="1">
      <c r="A391" s="17"/>
      <c r="B391" s="15"/>
      <c r="C391" s="14"/>
      <c r="D391" s="14"/>
      <c r="F391" s="7"/>
      <c r="G391" s="49"/>
      <c r="H391"/>
      <c r="I391"/>
      <c r="L391" s="10"/>
    </row>
    <row r="392" spans="1:12" s="8" customFormat="1">
      <c r="A392" s="17"/>
      <c r="B392" s="15"/>
      <c r="C392" s="14"/>
      <c r="D392" s="14"/>
      <c r="F392" s="7"/>
      <c r="G392" s="49"/>
      <c r="H392"/>
      <c r="I392"/>
      <c r="L392" s="10"/>
    </row>
    <row r="393" spans="1:12" s="8" customFormat="1">
      <c r="A393" s="17"/>
      <c r="B393" s="15"/>
      <c r="C393" s="14"/>
      <c r="D393" s="14"/>
      <c r="F393" s="7"/>
      <c r="G393" s="49"/>
      <c r="H393"/>
      <c r="I393"/>
      <c r="L393" s="10"/>
    </row>
    <row r="394" spans="1:12" s="8" customFormat="1">
      <c r="A394" s="17"/>
      <c r="B394" s="15"/>
      <c r="C394" s="14"/>
      <c r="D394" s="14"/>
      <c r="F394" s="7"/>
      <c r="G394" s="49"/>
      <c r="H394"/>
      <c r="I394"/>
      <c r="L394" s="10"/>
    </row>
    <row r="395" spans="1:12" s="8" customFormat="1">
      <c r="A395" s="17"/>
      <c r="B395" s="15"/>
      <c r="C395" s="14"/>
      <c r="D395" s="14"/>
      <c r="F395" s="7"/>
      <c r="G395" s="49"/>
      <c r="H395"/>
      <c r="I395"/>
      <c r="L395" s="10"/>
    </row>
    <row r="396" spans="1:12" s="8" customFormat="1">
      <c r="A396" s="17"/>
      <c r="B396" s="15"/>
      <c r="C396" s="14"/>
      <c r="D396" s="14"/>
      <c r="F396" s="7"/>
      <c r="G396" s="49"/>
      <c r="H396"/>
      <c r="I396"/>
      <c r="L396" s="10"/>
    </row>
    <row r="397" spans="1:12" s="8" customFormat="1">
      <c r="A397" s="17"/>
      <c r="B397" s="15"/>
      <c r="C397" s="14"/>
      <c r="D397" s="14"/>
      <c r="F397" s="7"/>
      <c r="G397" s="49"/>
      <c r="H397"/>
      <c r="I397"/>
      <c r="L397" s="10"/>
    </row>
    <row r="398" spans="1:12" s="8" customFormat="1">
      <c r="A398" s="17"/>
      <c r="B398" s="15"/>
      <c r="C398" s="14"/>
      <c r="D398" s="14"/>
      <c r="F398" s="7"/>
      <c r="G398" s="49"/>
      <c r="H398"/>
      <c r="I398"/>
      <c r="L398" s="10"/>
    </row>
    <row r="399" spans="1:12" s="8" customFormat="1">
      <c r="A399" s="17"/>
      <c r="B399" s="15"/>
      <c r="C399" s="14"/>
      <c r="D399" s="14"/>
      <c r="F399" s="7"/>
      <c r="G399" s="49"/>
      <c r="H399"/>
      <c r="I399"/>
      <c r="L399" s="10"/>
    </row>
    <row r="400" spans="1:12" s="8" customFormat="1">
      <c r="A400" s="17"/>
      <c r="B400" s="15"/>
      <c r="C400" s="14"/>
      <c r="D400" s="14"/>
      <c r="F400" s="7"/>
      <c r="G400" s="49"/>
      <c r="H400"/>
      <c r="I400"/>
      <c r="L400" s="10"/>
    </row>
    <row r="401" spans="1:12" s="8" customFormat="1">
      <c r="A401" s="17"/>
      <c r="B401" s="15"/>
      <c r="C401" s="14"/>
      <c r="D401" s="14"/>
      <c r="F401" s="7"/>
      <c r="G401" s="49"/>
      <c r="H401"/>
      <c r="I401"/>
      <c r="L401" s="10"/>
    </row>
    <row r="402" spans="1:12" s="8" customFormat="1">
      <c r="A402" s="17"/>
      <c r="B402" s="15"/>
      <c r="C402" s="14"/>
      <c r="D402" s="14"/>
      <c r="F402" s="7"/>
      <c r="G402" s="49"/>
      <c r="H402"/>
      <c r="I402"/>
      <c r="L402" s="10"/>
    </row>
    <row r="403" spans="1:12" s="8" customFormat="1">
      <c r="A403" s="17"/>
      <c r="B403" s="15"/>
      <c r="C403" s="14"/>
      <c r="D403" s="14"/>
      <c r="F403" s="7"/>
      <c r="G403" s="49"/>
      <c r="H403"/>
      <c r="I403"/>
      <c r="L403" s="10"/>
    </row>
    <row r="404" spans="1:12" s="8" customFormat="1">
      <c r="A404" s="17"/>
      <c r="B404" s="15"/>
      <c r="C404" s="14"/>
      <c r="D404" s="14"/>
      <c r="F404" s="7"/>
      <c r="G404" s="49"/>
      <c r="H404"/>
      <c r="I404"/>
      <c r="L404" s="10"/>
    </row>
    <row r="405" spans="1:12" s="8" customFormat="1">
      <c r="A405" s="17"/>
      <c r="B405" s="15"/>
      <c r="C405" s="14"/>
      <c r="D405" s="14"/>
      <c r="F405" s="7"/>
      <c r="G405" s="49"/>
      <c r="H405"/>
      <c r="I405"/>
      <c r="L405" s="10"/>
    </row>
    <row r="406" spans="1:12" s="8" customFormat="1">
      <c r="A406" s="17"/>
      <c r="B406" s="15"/>
      <c r="C406" s="14"/>
      <c r="D406" s="14"/>
      <c r="F406" s="7"/>
      <c r="G406" s="49"/>
      <c r="H406"/>
      <c r="I406"/>
      <c r="L406" s="10"/>
    </row>
    <row r="407" spans="1:12" s="8" customFormat="1">
      <c r="A407" s="17"/>
      <c r="B407" s="15"/>
      <c r="C407" s="14"/>
      <c r="D407" s="14"/>
      <c r="F407" s="7"/>
      <c r="G407" s="49"/>
      <c r="H407"/>
      <c r="I407"/>
      <c r="L407" s="10"/>
    </row>
    <row r="408" spans="1:12" s="8" customFormat="1">
      <c r="A408" s="17"/>
      <c r="B408" s="15"/>
      <c r="C408" s="14"/>
      <c r="D408" s="14"/>
      <c r="F408" s="7"/>
      <c r="G408" s="49"/>
      <c r="H408"/>
      <c r="I408"/>
      <c r="L408" s="10"/>
    </row>
    <row r="409" spans="1:12" s="8" customFormat="1">
      <c r="A409" s="17"/>
      <c r="B409" s="15"/>
      <c r="C409" s="14"/>
      <c r="F409" s="7"/>
      <c r="G409" s="49"/>
      <c r="H409"/>
      <c r="I409"/>
      <c r="L409" s="10"/>
    </row>
    <row r="410" spans="1:12" s="8" customFormat="1">
      <c r="A410" s="17"/>
      <c r="B410" s="15"/>
      <c r="C410" s="14"/>
      <c r="D410" s="18"/>
      <c r="F410" s="7"/>
      <c r="G410" s="49"/>
      <c r="H410"/>
      <c r="I410"/>
      <c r="L410" s="10"/>
    </row>
    <row r="411" spans="1:12" s="8" customFormat="1">
      <c r="A411" s="17"/>
      <c r="B411" s="15"/>
      <c r="C411" s="14"/>
      <c r="D411" s="18"/>
      <c r="F411" s="7"/>
      <c r="G411" s="49"/>
      <c r="H411"/>
      <c r="I411"/>
      <c r="L411" s="10"/>
    </row>
    <row r="412" spans="1:12" s="8" customFormat="1">
      <c r="A412" s="17"/>
      <c r="B412" s="15"/>
      <c r="C412" s="14"/>
      <c r="D412" s="18"/>
      <c r="F412" s="7"/>
      <c r="G412" s="49"/>
      <c r="H412"/>
      <c r="I412"/>
      <c r="L412" s="10"/>
    </row>
    <row r="413" spans="1:12" s="8" customFormat="1">
      <c r="A413" s="17"/>
      <c r="B413" s="15"/>
      <c r="C413" s="14"/>
      <c r="D413" s="18"/>
      <c r="F413" s="7"/>
      <c r="G413" s="49"/>
      <c r="H413"/>
      <c r="I413"/>
      <c r="L413" s="10"/>
    </row>
    <row r="414" spans="1:12" s="8" customFormat="1">
      <c r="A414" s="17"/>
      <c r="B414" s="15"/>
      <c r="D414" s="18"/>
      <c r="F414" s="7"/>
      <c r="G414" s="49"/>
      <c r="H414"/>
      <c r="I414"/>
      <c r="L414" s="10"/>
    </row>
    <row r="415" spans="1:12" s="8" customFormat="1">
      <c r="A415" s="17"/>
      <c r="B415" s="15"/>
      <c r="C415" s="18"/>
      <c r="D415" s="18"/>
      <c r="F415" s="7"/>
      <c r="G415" s="49"/>
      <c r="H415"/>
      <c r="I415"/>
      <c r="L415" s="10"/>
    </row>
    <row r="416" spans="1:12" s="8" customFormat="1">
      <c r="A416" s="17"/>
      <c r="B416" s="15"/>
      <c r="C416" s="18"/>
      <c r="D416" s="18"/>
      <c r="F416" s="7"/>
      <c r="G416" s="49"/>
      <c r="H416"/>
      <c r="I416"/>
      <c r="L416" s="10"/>
    </row>
    <row r="417" spans="1:12" s="8" customFormat="1">
      <c r="A417" s="17"/>
      <c r="C417" s="18"/>
      <c r="D417" s="18"/>
      <c r="F417" s="7"/>
      <c r="G417" s="49"/>
      <c r="H417"/>
      <c r="I417"/>
      <c r="L417" s="10"/>
    </row>
    <row r="418" spans="1:12" s="8" customFormat="1">
      <c r="A418" s="17"/>
      <c r="B418" s="19"/>
      <c r="C418" s="18"/>
      <c r="D418" s="18"/>
      <c r="F418" s="7"/>
      <c r="G418" s="49"/>
      <c r="H418"/>
      <c r="I418"/>
      <c r="L418" s="10"/>
    </row>
    <row r="419" spans="1:12" s="8" customFormat="1">
      <c r="B419" s="19"/>
      <c r="C419" s="18"/>
      <c r="D419" s="18"/>
      <c r="F419" s="7"/>
      <c r="G419" s="49"/>
      <c r="H419"/>
      <c r="I419"/>
      <c r="L419" s="10"/>
    </row>
    <row r="420" spans="1:12" s="8" customFormat="1">
      <c r="A420" s="9"/>
      <c r="B420" s="19"/>
      <c r="C420" s="18"/>
      <c r="D420" s="18"/>
      <c r="F420" s="7"/>
      <c r="G420" s="49"/>
      <c r="H420"/>
      <c r="I420"/>
      <c r="L420" s="10"/>
    </row>
    <row r="421" spans="1:12" s="8" customFormat="1">
      <c r="A421" s="9"/>
      <c r="B421" s="19"/>
      <c r="C421" s="18"/>
      <c r="D421" s="18"/>
      <c r="F421" s="7"/>
      <c r="G421" s="49"/>
      <c r="H421"/>
      <c r="I421"/>
      <c r="L421" s="10"/>
    </row>
    <row r="422" spans="1:12" s="8" customFormat="1">
      <c r="A422" s="9"/>
      <c r="B422" s="19"/>
      <c r="C422" s="18"/>
      <c r="D422" s="18"/>
      <c r="F422" s="7"/>
      <c r="G422" s="49"/>
      <c r="H422"/>
      <c r="I422"/>
      <c r="L422" s="10"/>
    </row>
    <row r="423" spans="1:12" s="8" customFormat="1">
      <c r="A423" s="9"/>
      <c r="B423" s="19"/>
      <c r="C423" s="18"/>
      <c r="D423" s="18"/>
      <c r="F423" s="7"/>
      <c r="G423" s="49"/>
      <c r="H423"/>
      <c r="I423"/>
      <c r="L423" s="10"/>
    </row>
    <row r="424" spans="1:12" s="8" customFormat="1">
      <c r="A424" s="9"/>
      <c r="B424" s="19"/>
      <c r="C424" s="18"/>
      <c r="D424" s="18"/>
      <c r="F424" s="7"/>
      <c r="G424" s="49"/>
      <c r="H424"/>
      <c r="I424"/>
      <c r="L424" s="10"/>
    </row>
    <row r="425" spans="1:12" s="8" customFormat="1">
      <c r="A425" s="9"/>
      <c r="B425" s="19"/>
      <c r="C425" s="18"/>
      <c r="D425" s="18"/>
      <c r="F425" s="7"/>
      <c r="G425" s="49"/>
      <c r="H425"/>
      <c r="I425"/>
      <c r="L425" s="10"/>
    </row>
    <row r="426" spans="1:12" s="8" customFormat="1">
      <c r="A426" s="9"/>
      <c r="B426" s="19"/>
      <c r="C426" s="18"/>
      <c r="D426" s="18"/>
      <c r="F426" s="7"/>
      <c r="G426" s="49"/>
      <c r="H426"/>
      <c r="I426"/>
      <c r="L426" s="10"/>
    </row>
    <row r="427" spans="1:12" s="8" customFormat="1">
      <c r="A427" s="9"/>
      <c r="B427" s="19"/>
      <c r="C427" s="18"/>
      <c r="D427" s="18"/>
      <c r="F427" s="7"/>
      <c r="G427" s="49"/>
      <c r="H427"/>
      <c r="I427"/>
      <c r="L427" s="10"/>
    </row>
    <row r="428" spans="1:12" s="8" customFormat="1">
      <c r="A428" s="9"/>
      <c r="B428" s="19"/>
      <c r="C428" s="18"/>
      <c r="D428" s="18"/>
      <c r="F428" s="7"/>
      <c r="G428" s="49"/>
      <c r="H428"/>
      <c r="I428"/>
      <c r="L428" s="10"/>
    </row>
    <row r="429" spans="1:12" s="8" customFormat="1">
      <c r="A429" s="9"/>
      <c r="B429" s="19"/>
      <c r="C429" s="18"/>
      <c r="D429" s="18"/>
      <c r="F429" s="7"/>
      <c r="G429" s="49"/>
      <c r="H429"/>
      <c r="I429"/>
      <c r="L429" s="10"/>
    </row>
    <row r="430" spans="1:12" s="8" customFormat="1">
      <c r="A430" s="9"/>
      <c r="B430" s="19"/>
      <c r="C430" s="18"/>
      <c r="D430" s="18"/>
      <c r="F430" s="7"/>
      <c r="G430" s="49"/>
      <c r="H430"/>
      <c r="I430"/>
      <c r="L430" s="10"/>
    </row>
    <row r="431" spans="1:12" s="8" customFormat="1">
      <c r="A431" s="9"/>
      <c r="B431" s="19"/>
      <c r="C431" s="18"/>
      <c r="D431" s="18"/>
      <c r="F431" s="7"/>
      <c r="G431" s="49"/>
      <c r="H431"/>
      <c r="I431"/>
      <c r="L431" s="10"/>
    </row>
    <row r="432" spans="1:12" s="8" customFormat="1">
      <c r="A432" s="9"/>
      <c r="B432" s="19"/>
      <c r="C432" s="18"/>
      <c r="D432" s="18"/>
      <c r="F432" s="7"/>
      <c r="G432" s="49"/>
      <c r="H432"/>
      <c r="I432"/>
      <c r="L432" s="10"/>
    </row>
    <row r="433" spans="1:12" s="8" customFormat="1">
      <c r="A433" s="9"/>
      <c r="B433" s="19"/>
      <c r="C433" s="18"/>
      <c r="D433" s="18"/>
      <c r="F433" s="7"/>
      <c r="G433" s="49"/>
      <c r="H433"/>
      <c r="I433"/>
      <c r="L433" s="10"/>
    </row>
    <row r="434" spans="1:12" s="8" customFormat="1">
      <c r="A434" s="9"/>
      <c r="B434" s="19"/>
      <c r="C434" s="18"/>
      <c r="D434" s="18"/>
      <c r="F434" s="7"/>
      <c r="G434" s="49"/>
      <c r="H434"/>
      <c r="I434"/>
      <c r="L434" s="10"/>
    </row>
    <row r="435" spans="1:12" s="8" customFormat="1">
      <c r="A435" s="9"/>
      <c r="B435" s="19"/>
      <c r="C435" s="18"/>
      <c r="D435" s="18"/>
      <c r="F435" s="7"/>
      <c r="G435" s="49"/>
      <c r="H435"/>
      <c r="I435"/>
      <c r="L435" s="10"/>
    </row>
    <row r="436" spans="1:12" s="8" customFormat="1">
      <c r="A436" s="9"/>
      <c r="B436" s="19"/>
      <c r="C436" s="18"/>
      <c r="D436" s="18"/>
      <c r="F436" s="7"/>
      <c r="G436" s="49"/>
      <c r="H436"/>
      <c r="I436"/>
      <c r="L436" s="10"/>
    </row>
    <row r="437" spans="1:12" s="8" customFormat="1">
      <c r="A437" s="9"/>
      <c r="B437" s="19"/>
      <c r="C437" s="18"/>
      <c r="D437" s="18"/>
      <c r="F437" s="7"/>
      <c r="G437" s="49"/>
      <c r="H437"/>
      <c r="I437"/>
      <c r="L437" s="10"/>
    </row>
    <row r="438" spans="1:12" s="8" customFormat="1">
      <c r="A438" s="9"/>
      <c r="B438" s="19"/>
      <c r="C438" s="18"/>
      <c r="D438" s="18"/>
      <c r="F438" s="7"/>
      <c r="G438" s="49"/>
      <c r="H438"/>
      <c r="I438"/>
      <c r="L438" s="10"/>
    </row>
    <row r="439" spans="1:12" s="8" customFormat="1">
      <c r="A439" s="9"/>
      <c r="B439" s="19"/>
      <c r="C439" s="18"/>
      <c r="D439" s="18"/>
      <c r="F439" s="7"/>
      <c r="G439" s="49"/>
      <c r="H439"/>
      <c r="I439"/>
      <c r="L439" s="10"/>
    </row>
    <row r="440" spans="1:12" s="8" customFormat="1">
      <c r="A440" s="9"/>
      <c r="B440" s="19"/>
      <c r="C440" s="18"/>
      <c r="D440" s="18"/>
      <c r="F440" s="7"/>
      <c r="G440" s="49"/>
      <c r="H440"/>
      <c r="I440"/>
      <c r="L440" s="10"/>
    </row>
    <row r="441" spans="1:12" s="8" customFormat="1">
      <c r="A441" s="9"/>
      <c r="B441" s="19"/>
      <c r="C441" s="18"/>
      <c r="D441" s="18"/>
      <c r="F441" s="7"/>
      <c r="G441" s="49"/>
      <c r="H441"/>
      <c r="I441"/>
      <c r="L441" s="10"/>
    </row>
    <row r="442" spans="1:12" s="8" customFormat="1">
      <c r="A442" s="9"/>
      <c r="B442" s="19"/>
      <c r="C442" s="18"/>
      <c r="D442" s="18"/>
      <c r="F442" s="7"/>
      <c r="G442" s="49"/>
      <c r="H442"/>
      <c r="I442"/>
      <c r="L442" s="10"/>
    </row>
    <row r="443" spans="1:12" s="8" customFormat="1">
      <c r="A443" s="9"/>
      <c r="B443" s="19"/>
      <c r="C443" s="18"/>
      <c r="D443" s="18"/>
      <c r="F443" s="7"/>
      <c r="G443" s="49"/>
      <c r="H443"/>
      <c r="I443"/>
      <c r="L443" s="10"/>
    </row>
    <row r="444" spans="1:12" s="8" customFormat="1">
      <c r="A444" s="9"/>
      <c r="B444" s="19"/>
      <c r="C444" s="18"/>
      <c r="D444" s="18"/>
      <c r="F444" s="7"/>
      <c r="G444" s="49"/>
      <c r="H444"/>
      <c r="I444"/>
      <c r="L444" s="10"/>
    </row>
    <row r="445" spans="1:12" s="8" customFormat="1">
      <c r="A445" s="9"/>
      <c r="B445" s="19"/>
      <c r="C445" s="18"/>
      <c r="D445" s="18"/>
      <c r="F445" s="7"/>
      <c r="G445" s="49"/>
      <c r="H445"/>
      <c r="I445"/>
      <c r="L445" s="10"/>
    </row>
    <row r="446" spans="1:12" s="8" customFormat="1">
      <c r="A446" s="9"/>
      <c r="B446" s="19"/>
      <c r="C446" s="18"/>
      <c r="D446" s="18"/>
      <c r="F446" s="7"/>
      <c r="G446" s="49"/>
      <c r="H446"/>
      <c r="I446"/>
      <c r="L446" s="10"/>
    </row>
    <row r="447" spans="1:12" s="8" customFormat="1">
      <c r="A447" s="9"/>
      <c r="B447" s="19"/>
      <c r="C447" s="18"/>
      <c r="D447" s="18"/>
      <c r="F447" s="7"/>
      <c r="G447" s="49"/>
      <c r="H447"/>
      <c r="I447"/>
      <c r="L447" s="10"/>
    </row>
    <row r="448" spans="1:12" s="8" customFormat="1">
      <c r="A448" s="9"/>
      <c r="B448" s="19"/>
      <c r="C448" s="18"/>
      <c r="D448" s="18"/>
      <c r="F448" s="7"/>
      <c r="G448" s="49"/>
      <c r="H448"/>
      <c r="I448"/>
      <c r="L448" s="10"/>
    </row>
    <row r="449" spans="1:12" s="8" customFormat="1">
      <c r="A449" s="9"/>
      <c r="B449" s="19"/>
      <c r="C449" s="18"/>
      <c r="D449" s="18"/>
      <c r="F449" s="7"/>
      <c r="G449" s="49"/>
      <c r="H449"/>
      <c r="I449"/>
      <c r="L449" s="10"/>
    </row>
    <row r="450" spans="1:12" s="8" customFormat="1">
      <c r="A450" s="9"/>
      <c r="B450" s="19"/>
      <c r="C450" s="18"/>
      <c r="D450" s="18"/>
      <c r="F450" s="7"/>
      <c r="G450" s="49"/>
      <c r="H450"/>
      <c r="I450"/>
      <c r="L450" s="10"/>
    </row>
    <row r="451" spans="1:12" s="8" customFormat="1">
      <c r="A451" s="9"/>
      <c r="B451" s="19"/>
      <c r="C451" s="18"/>
      <c r="D451" s="18"/>
      <c r="F451" s="7"/>
      <c r="G451" s="49"/>
      <c r="H451"/>
      <c r="I451"/>
      <c r="L451" s="10"/>
    </row>
    <row r="452" spans="1:12" s="8" customFormat="1">
      <c r="A452" s="9"/>
      <c r="B452" s="19"/>
      <c r="C452" s="18"/>
      <c r="D452" s="18"/>
      <c r="F452" s="7"/>
      <c r="G452" s="49"/>
      <c r="H452"/>
      <c r="I452"/>
      <c r="L452" s="10"/>
    </row>
    <row r="453" spans="1:12" s="8" customFormat="1">
      <c r="A453" s="9"/>
      <c r="B453" s="19"/>
      <c r="C453" s="18"/>
      <c r="D453" s="18"/>
      <c r="F453" s="7"/>
      <c r="G453" s="49"/>
      <c r="H453"/>
      <c r="I453"/>
      <c r="L453" s="10"/>
    </row>
    <row r="454" spans="1:12" s="8" customFormat="1">
      <c r="A454" s="9"/>
      <c r="B454" s="19"/>
      <c r="C454" s="18"/>
      <c r="D454" s="18"/>
      <c r="F454" s="7"/>
      <c r="G454" s="49"/>
      <c r="H454"/>
      <c r="I454"/>
      <c r="L454" s="10"/>
    </row>
    <row r="455" spans="1:12" s="8" customFormat="1">
      <c r="A455" s="9"/>
      <c r="B455" s="19"/>
      <c r="C455" s="18"/>
      <c r="D455" s="18"/>
      <c r="F455" s="7"/>
      <c r="G455" s="49"/>
      <c r="H455"/>
      <c r="I455"/>
      <c r="L455" s="10"/>
    </row>
    <row r="456" spans="1:12" s="8" customFormat="1">
      <c r="A456" s="9"/>
      <c r="B456" s="19"/>
      <c r="C456" s="18"/>
      <c r="D456" s="18"/>
      <c r="F456" s="7"/>
      <c r="G456" s="49"/>
      <c r="H456"/>
      <c r="I456"/>
      <c r="L456" s="10"/>
    </row>
    <row r="457" spans="1:12" s="8" customFormat="1">
      <c r="A457" s="9"/>
      <c r="B457" s="19"/>
      <c r="C457" s="18"/>
      <c r="D457" s="18"/>
      <c r="F457" s="7"/>
      <c r="G457" s="49"/>
      <c r="H457"/>
      <c r="I457"/>
      <c r="L457" s="10"/>
    </row>
    <row r="458" spans="1:12" s="8" customFormat="1">
      <c r="A458" s="9"/>
      <c r="B458" s="19"/>
      <c r="C458" s="18"/>
      <c r="D458" s="18"/>
      <c r="F458" s="7"/>
      <c r="G458" s="49"/>
      <c r="H458"/>
      <c r="I458"/>
      <c r="L458" s="10"/>
    </row>
    <row r="459" spans="1:12" s="8" customFormat="1">
      <c r="A459" s="9"/>
      <c r="B459" s="19"/>
      <c r="C459" s="18"/>
      <c r="D459" s="18"/>
      <c r="F459" s="7"/>
      <c r="G459" s="49"/>
      <c r="H459"/>
      <c r="I459"/>
      <c r="L459" s="10"/>
    </row>
    <row r="460" spans="1:12" s="8" customFormat="1">
      <c r="A460" s="9"/>
      <c r="B460" s="19"/>
      <c r="C460" s="18"/>
      <c r="D460" s="18"/>
      <c r="F460" s="7"/>
      <c r="G460" s="49"/>
      <c r="H460"/>
      <c r="I460"/>
      <c r="L460" s="10"/>
    </row>
    <row r="461" spans="1:12" s="8" customFormat="1">
      <c r="A461" s="9"/>
      <c r="B461" s="19"/>
      <c r="C461" s="18"/>
      <c r="D461" s="18"/>
      <c r="F461" s="7"/>
      <c r="G461" s="49"/>
      <c r="H461"/>
      <c r="I461"/>
      <c r="L461" s="10"/>
    </row>
    <row r="462" spans="1:12" s="8" customFormat="1">
      <c r="A462" s="9"/>
      <c r="B462" s="19"/>
      <c r="C462" s="18"/>
      <c r="D462" s="18"/>
      <c r="F462" s="7"/>
      <c r="G462" s="49"/>
      <c r="H462"/>
      <c r="I462"/>
      <c r="L462" s="10"/>
    </row>
    <row r="463" spans="1:12" s="8" customFormat="1">
      <c r="A463" s="9"/>
      <c r="B463" s="19"/>
      <c r="C463" s="18"/>
      <c r="D463" s="18"/>
      <c r="F463" s="7"/>
      <c r="G463" s="49"/>
      <c r="H463"/>
      <c r="I463"/>
      <c r="L463" s="10"/>
    </row>
    <row r="464" spans="1:12" s="8" customFormat="1">
      <c r="A464" s="9"/>
      <c r="B464" s="19"/>
      <c r="C464" s="18"/>
      <c r="D464" s="18"/>
      <c r="F464" s="7"/>
      <c r="G464" s="49"/>
      <c r="H464"/>
      <c r="I464"/>
      <c r="L464" s="10"/>
    </row>
    <row r="465" spans="1:12" s="8" customFormat="1">
      <c r="A465" s="9"/>
      <c r="B465" s="19"/>
      <c r="C465" s="18"/>
      <c r="D465" s="18"/>
      <c r="F465" s="7"/>
      <c r="G465" s="49"/>
      <c r="H465"/>
      <c r="I465"/>
      <c r="L465" s="10"/>
    </row>
    <row r="466" spans="1:12" s="8" customFormat="1">
      <c r="A466" s="9"/>
      <c r="B466" s="19"/>
      <c r="C466" s="18"/>
      <c r="D466" s="18"/>
      <c r="F466" s="7"/>
      <c r="G466" s="49"/>
      <c r="H466"/>
      <c r="I466"/>
      <c r="L466" s="10"/>
    </row>
    <row r="467" spans="1:12" s="8" customFormat="1">
      <c r="A467" s="9"/>
      <c r="B467" s="19"/>
      <c r="C467" s="18"/>
      <c r="D467" s="18"/>
      <c r="F467" s="7"/>
      <c r="G467" s="49"/>
      <c r="H467"/>
      <c r="I467"/>
      <c r="L467" s="10"/>
    </row>
    <row r="468" spans="1:12" s="8" customFormat="1">
      <c r="A468" s="9"/>
      <c r="B468" s="19"/>
      <c r="C468" s="18"/>
      <c r="D468" s="18"/>
      <c r="F468" s="7"/>
      <c r="G468" s="49"/>
      <c r="H468"/>
      <c r="I468"/>
      <c r="L468" s="10"/>
    </row>
    <row r="469" spans="1:12" s="8" customFormat="1">
      <c r="A469" s="9"/>
      <c r="B469" s="19"/>
      <c r="C469" s="18"/>
      <c r="D469" s="18"/>
      <c r="F469" s="7"/>
      <c r="G469" s="49"/>
      <c r="H469"/>
      <c r="I469"/>
      <c r="L469" s="10"/>
    </row>
    <row r="470" spans="1:12" s="8" customFormat="1">
      <c r="A470" s="9"/>
      <c r="B470" s="19"/>
      <c r="C470" s="18"/>
      <c r="D470" s="18"/>
      <c r="F470" s="7"/>
      <c r="G470" s="49"/>
      <c r="H470"/>
      <c r="I470"/>
      <c r="L470" s="10"/>
    </row>
    <row r="471" spans="1:12" s="8" customFormat="1">
      <c r="A471" s="9"/>
      <c r="B471" s="19"/>
      <c r="C471" s="18"/>
      <c r="D471" s="18"/>
      <c r="F471" s="7"/>
      <c r="G471" s="49"/>
      <c r="H471"/>
      <c r="I471"/>
      <c r="L471" s="10"/>
    </row>
    <row r="472" spans="1:12" s="8" customFormat="1">
      <c r="A472" s="9"/>
      <c r="B472" s="19"/>
      <c r="C472" s="18"/>
      <c r="D472" s="18"/>
      <c r="F472" s="7"/>
      <c r="G472" s="49"/>
      <c r="H472"/>
      <c r="I472"/>
      <c r="L472" s="10"/>
    </row>
    <row r="473" spans="1:12" s="8" customFormat="1">
      <c r="A473" s="9"/>
      <c r="B473" s="19"/>
      <c r="C473" s="18"/>
      <c r="D473" s="18"/>
      <c r="F473" s="7"/>
      <c r="G473" s="49"/>
      <c r="H473"/>
      <c r="I473"/>
      <c r="L473" s="10"/>
    </row>
    <row r="474" spans="1:12" s="8" customFormat="1">
      <c r="A474" s="9"/>
      <c r="B474" s="19"/>
      <c r="C474" s="18"/>
      <c r="D474" s="18"/>
      <c r="F474" s="7"/>
      <c r="G474" s="49"/>
      <c r="H474"/>
      <c r="I474"/>
      <c r="L474" s="10"/>
    </row>
    <row r="475" spans="1:12" s="8" customFormat="1">
      <c r="A475" s="9"/>
      <c r="B475" s="19"/>
      <c r="C475" s="18"/>
      <c r="D475" s="18"/>
      <c r="F475" s="7"/>
      <c r="G475" s="49"/>
      <c r="H475"/>
      <c r="I475"/>
      <c r="L475" s="10"/>
    </row>
    <row r="476" spans="1:12" s="8" customFormat="1">
      <c r="A476" s="9"/>
      <c r="B476" s="19"/>
      <c r="C476" s="18"/>
      <c r="D476" s="18"/>
      <c r="F476" s="7"/>
      <c r="G476" s="49"/>
      <c r="H476"/>
      <c r="I476"/>
      <c r="L476" s="10"/>
    </row>
    <row r="477" spans="1:12" s="8" customFormat="1">
      <c r="A477" s="9"/>
      <c r="B477" s="19"/>
      <c r="C477" s="18"/>
      <c r="D477" s="18"/>
      <c r="F477" s="7"/>
      <c r="G477" s="49"/>
      <c r="H477"/>
      <c r="I477"/>
      <c r="L477" s="10"/>
    </row>
    <row r="478" spans="1:12" s="8" customFormat="1">
      <c r="A478" s="9"/>
      <c r="B478" s="19"/>
      <c r="C478" s="18"/>
      <c r="D478" s="18"/>
      <c r="F478" s="7"/>
      <c r="G478" s="49"/>
      <c r="H478"/>
      <c r="I478"/>
      <c r="L478" s="10"/>
    </row>
    <row r="479" spans="1:12" s="8" customFormat="1">
      <c r="A479" s="9"/>
      <c r="B479" s="19"/>
      <c r="C479" s="18"/>
      <c r="D479" s="18"/>
      <c r="F479" s="7"/>
      <c r="G479" s="49"/>
      <c r="H479"/>
      <c r="I479"/>
      <c r="L479" s="10"/>
    </row>
    <row r="480" spans="1:12" s="8" customFormat="1">
      <c r="A480" s="9"/>
      <c r="B480" s="19"/>
      <c r="C480" s="18"/>
      <c r="D480" s="18"/>
      <c r="F480" s="7"/>
      <c r="G480" s="49"/>
      <c r="H480"/>
      <c r="I480"/>
      <c r="L480" s="10"/>
    </row>
    <row r="481" spans="1:12" s="8" customFormat="1">
      <c r="A481" s="9"/>
      <c r="B481" s="19"/>
      <c r="C481" s="18"/>
      <c r="D481" s="18"/>
      <c r="F481" s="7"/>
      <c r="G481" s="49"/>
      <c r="H481"/>
      <c r="I481"/>
      <c r="L481" s="10"/>
    </row>
    <row r="482" spans="1:12" s="8" customFormat="1">
      <c r="A482" s="9"/>
      <c r="B482" s="19"/>
      <c r="C482" s="18"/>
      <c r="D482" s="18"/>
      <c r="F482" s="7"/>
      <c r="G482" s="49"/>
      <c r="H482"/>
      <c r="I482"/>
      <c r="L482" s="10"/>
    </row>
    <row r="483" spans="1:12" s="8" customFormat="1">
      <c r="A483" s="9"/>
      <c r="B483" s="19"/>
      <c r="C483" s="18"/>
      <c r="D483" s="18"/>
      <c r="F483" s="7"/>
      <c r="G483" s="49"/>
      <c r="H483"/>
      <c r="I483"/>
      <c r="L483" s="10"/>
    </row>
    <row r="484" spans="1:12" s="8" customFormat="1">
      <c r="A484" s="9"/>
      <c r="B484" s="19"/>
      <c r="C484" s="18"/>
      <c r="D484" s="18"/>
      <c r="F484" s="7"/>
      <c r="G484" s="49"/>
      <c r="H484"/>
      <c r="I484"/>
      <c r="L484" s="10"/>
    </row>
    <row r="485" spans="1:12" s="8" customFormat="1">
      <c r="A485" s="9"/>
      <c r="B485" s="19"/>
      <c r="C485" s="18"/>
      <c r="D485" s="18"/>
      <c r="F485" s="7"/>
      <c r="G485" s="49"/>
      <c r="H485"/>
      <c r="I485"/>
      <c r="L485" s="10"/>
    </row>
    <row r="486" spans="1:12" s="8" customFormat="1">
      <c r="A486" s="9"/>
      <c r="B486" s="19"/>
      <c r="C486" s="18"/>
      <c r="D486" s="18"/>
      <c r="F486" s="7"/>
      <c r="G486" s="49"/>
      <c r="H486"/>
      <c r="I486"/>
      <c r="L486" s="10"/>
    </row>
    <row r="487" spans="1:12" s="8" customFormat="1">
      <c r="A487" s="9"/>
      <c r="B487" s="19"/>
      <c r="C487" s="18"/>
      <c r="D487" s="18"/>
      <c r="F487" s="7"/>
      <c r="G487" s="49"/>
      <c r="H487"/>
      <c r="I487"/>
      <c r="L487" s="10"/>
    </row>
    <row r="488" spans="1:12" s="8" customFormat="1">
      <c r="A488" s="9"/>
      <c r="B488" s="19"/>
      <c r="C488" s="18"/>
      <c r="D488" s="18"/>
      <c r="F488" s="7"/>
      <c r="G488" s="49"/>
      <c r="H488"/>
      <c r="I488"/>
      <c r="L488" s="10"/>
    </row>
    <row r="489" spans="1:12" s="8" customFormat="1">
      <c r="A489" s="9"/>
      <c r="B489" s="19"/>
      <c r="C489" s="18"/>
      <c r="D489" s="18"/>
      <c r="F489" s="7"/>
      <c r="G489" s="49"/>
      <c r="H489"/>
      <c r="I489"/>
      <c r="L489" s="10"/>
    </row>
    <row r="490" spans="1:12" s="8" customFormat="1">
      <c r="A490" s="9"/>
      <c r="B490" s="19"/>
      <c r="C490" s="18"/>
      <c r="D490" s="18"/>
      <c r="F490" s="7"/>
      <c r="G490" s="49"/>
      <c r="H490"/>
      <c r="I490"/>
      <c r="L490" s="10"/>
    </row>
    <row r="491" spans="1:12" s="8" customFormat="1">
      <c r="A491" s="9"/>
      <c r="B491" s="19"/>
      <c r="C491" s="18"/>
      <c r="D491" s="18"/>
      <c r="F491" s="7"/>
      <c r="G491" s="49"/>
      <c r="H491"/>
      <c r="I491"/>
      <c r="L491" s="10"/>
    </row>
    <row r="492" spans="1:12" s="8" customFormat="1">
      <c r="A492" s="9"/>
      <c r="B492" s="19"/>
      <c r="C492" s="18"/>
      <c r="D492" s="18"/>
      <c r="F492" s="7"/>
      <c r="G492" s="49"/>
      <c r="H492"/>
      <c r="I492"/>
      <c r="L492" s="10"/>
    </row>
    <row r="493" spans="1:12" s="8" customFormat="1">
      <c r="A493" s="9"/>
      <c r="B493" s="19"/>
      <c r="C493" s="18"/>
      <c r="D493" s="18"/>
      <c r="F493" s="7"/>
      <c r="G493" s="49"/>
      <c r="H493"/>
      <c r="I493"/>
      <c r="L493" s="10"/>
    </row>
    <row r="494" spans="1:12" s="8" customFormat="1">
      <c r="A494" s="9"/>
      <c r="B494" s="19"/>
      <c r="C494" s="18"/>
      <c r="D494" s="18"/>
      <c r="F494" s="7"/>
      <c r="G494" s="49"/>
      <c r="H494"/>
      <c r="I494"/>
      <c r="L494" s="10"/>
    </row>
    <row r="495" spans="1:12" s="8" customFormat="1">
      <c r="A495" s="9"/>
      <c r="B495" s="19"/>
      <c r="C495" s="18"/>
      <c r="D495" s="18"/>
      <c r="F495" s="7"/>
      <c r="G495" s="49"/>
      <c r="H495"/>
      <c r="I495"/>
      <c r="L495" s="10"/>
    </row>
    <row r="496" spans="1:12" s="8" customFormat="1">
      <c r="A496" s="9"/>
      <c r="B496" s="19"/>
      <c r="C496" s="18"/>
      <c r="D496" s="18"/>
      <c r="F496" s="7"/>
      <c r="G496" s="49"/>
      <c r="H496"/>
      <c r="I496"/>
      <c r="L496" s="10"/>
    </row>
    <row r="497" spans="1:12" s="8" customFormat="1">
      <c r="A497" s="9"/>
      <c r="B497" s="19"/>
      <c r="C497" s="18"/>
      <c r="D497" s="18"/>
      <c r="F497" s="7"/>
      <c r="G497" s="49"/>
      <c r="H497"/>
      <c r="I497"/>
      <c r="L497" s="10"/>
    </row>
    <row r="498" spans="1:12" s="8" customFormat="1">
      <c r="A498" s="9"/>
      <c r="B498" s="19"/>
      <c r="C498" s="18"/>
      <c r="D498" s="18"/>
      <c r="F498" s="7"/>
      <c r="G498" s="49"/>
      <c r="H498"/>
      <c r="I498"/>
      <c r="L498" s="10"/>
    </row>
    <row r="499" spans="1:12" s="8" customFormat="1">
      <c r="A499" s="9"/>
      <c r="B499" s="19"/>
      <c r="C499" s="18"/>
      <c r="D499" s="18"/>
      <c r="F499" s="7"/>
      <c r="G499" s="49"/>
      <c r="H499"/>
      <c r="I499"/>
      <c r="L499" s="10"/>
    </row>
    <row r="500" spans="1:12" s="8" customFormat="1">
      <c r="A500" s="9"/>
      <c r="B500" s="19"/>
      <c r="C500" s="18"/>
      <c r="D500" s="18"/>
      <c r="F500" s="7"/>
      <c r="G500" s="49"/>
      <c r="H500"/>
      <c r="I500"/>
      <c r="L500" s="10"/>
    </row>
    <row r="501" spans="1:12" s="8" customFormat="1">
      <c r="A501" s="9"/>
      <c r="B501" s="19"/>
      <c r="C501" s="18"/>
      <c r="D501" s="18"/>
      <c r="F501" s="7"/>
      <c r="G501" s="49"/>
      <c r="H501"/>
      <c r="I501"/>
      <c r="L501" s="10"/>
    </row>
    <row r="502" spans="1:12" s="8" customFormat="1">
      <c r="A502" s="9"/>
      <c r="B502" s="19"/>
      <c r="C502" s="18"/>
      <c r="D502" s="18"/>
      <c r="F502" s="7"/>
      <c r="G502" s="49"/>
      <c r="H502"/>
      <c r="I502"/>
      <c r="L502" s="10"/>
    </row>
    <row r="503" spans="1:12" s="8" customFormat="1">
      <c r="A503" s="9"/>
      <c r="B503" s="19"/>
      <c r="C503" s="18"/>
      <c r="D503" s="18"/>
      <c r="F503" s="7"/>
      <c r="G503" s="49"/>
      <c r="H503"/>
      <c r="I503"/>
      <c r="L503" s="10"/>
    </row>
    <row r="504" spans="1:12" s="8" customFormat="1">
      <c r="A504" s="9"/>
      <c r="B504" s="19"/>
      <c r="C504" s="18"/>
      <c r="D504" s="18"/>
      <c r="F504" s="7"/>
      <c r="G504" s="49"/>
      <c r="H504"/>
      <c r="I504"/>
      <c r="L504" s="10"/>
    </row>
    <row r="505" spans="1:12" s="8" customFormat="1">
      <c r="A505" s="9"/>
      <c r="B505" s="19"/>
      <c r="C505" s="18"/>
      <c r="D505" s="18"/>
      <c r="F505" s="7"/>
      <c r="G505" s="49"/>
      <c r="H505"/>
      <c r="I505"/>
      <c r="L505" s="10"/>
    </row>
    <row r="506" spans="1:12" s="8" customFormat="1">
      <c r="A506" s="9"/>
      <c r="B506" s="19"/>
      <c r="C506" s="18"/>
      <c r="D506" s="18"/>
      <c r="F506" s="7"/>
      <c r="G506" s="49"/>
      <c r="H506"/>
      <c r="I506"/>
      <c r="L506" s="10"/>
    </row>
    <row r="507" spans="1:12" s="8" customFormat="1">
      <c r="A507" s="9"/>
      <c r="B507" s="19"/>
      <c r="C507" s="18"/>
      <c r="D507" s="18"/>
      <c r="F507" s="7"/>
      <c r="G507" s="49"/>
      <c r="H507"/>
      <c r="I507"/>
      <c r="L507" s="10"/>
    </row>
    <row r="508" spans="1:12" s="8" customFormat="1">
      <c r="A508" s="9"/>
      <c r="B508" s="19"/>
      <c r="C508" s="18"/>
      <c r="D508" s="18"/>
      <c r="F508" s="7"/>
      <c r="G508" s="49"/>
      <c r="H508"/>
      <c r="I508"/>
      <c r="L508" s="10"/>
    </row>
    <row r="509" spans="1:12" s="8" customFormat="1">
      <c r="A509" s="9"/>
      <c r="B509" s="19"/>
      <c r="C509" s="18"/>
      <c r="D509" s="18"/>
      <c r="F509" s="7"/>
      <c r="G509" s="49"/>
      <c r="H509"/>
      <c r="I509"/>
      <c r="L509" s="10"/>
    </row>
    <row r="510" spans="1:12" s="8" customFormat="1">
      <c r="A510" s="9"/>
      <c r="B510" s="19"/>
      <c r="C510" s="18"/>
      <c r="D510" s="18"/>
      <c r="F510" s="7"/>
      <c r="G510" s="49"/>
      <c r="H510"/>
      <c r="I510"/>
      <c r="L510" s="10"/>
    </row>
    <row r="511" spans="1:12" s="8" customFormat="1">
      <c r="A511" s="9"/>
      <c r="B511" s="19"/>
      <c r="C511" s="18"/>
      <c r="D511" s="18"/>
      <c r="F511" s="7"/>
      <c r="G511" s="49"/>
      <c r="H511"/>
      <c r="I511"/>
      <c r="L511" s="10"/>
    </row>
    <row r="512" spans="1:12" s="8" customFormat="1">
      <c r="A512" s="9"/>
      <c r="B512" s="19"/>
      <c r="C512" s="18"/>
      <c r="D512" s="18"/>
      <c r="F512" s="7"/>
      <c r="G512" s="49"/>
      <c r="H512"/>
      <c r="I512"/>
      <c r="L512" s="10"/>
    </row>
    <row r="513" spans="1:12" s="8" customFormat="1">
      <c r="A513" s="9"/>
      <c r="B513" s="19"/>
      <c r="C513" s="18"/>
      <c r="D513" s="18"/>
      <c r="F513" s="7"/>
      <c r="G513" s="49"/>
      <c r="H513"/>
      <c r="I513"/>
      <c r="L513" s="10"/>
    </row>
    <row r="514" spans="1:12" s="8" customFormat="1">
      <c r="A514" s="9"/>
      <c r="B514" s="19"/>
      <c r="C514" s="18"/>
      <c r="D514" s="18"/>
      <c r="F514" s="7"/>
      <c r="G514" s="49"/>
      <c r="H514"/>
      <c r="I514"/>
      <c r="L514" s="10"/>
    </row>
    <row r="515" spans="1:12" s="8" customFormat="1">
      <c r="A515" s="9"/>
      <c r="B515" s="19"/>
      <c r="C515" s="18"/>
      <c r="D515" s="18"/>
      <c r="F515" s="7"/>
      <c r="G515" s="49"/>
      <c r="H515"/>
      <c r="I515"/>
      <c r="L515" s="10"/>
    </row>
    <row r="516" spans="1:12" s="8" customFormat="1">
      <c r="A516" s="9"/>
      <c r="B516" s="19"/>
      <c r="C516" s="18"/>
      <c r="D516" s="18"/>
      <c r="F516" s="7"/>
      <c r="G516" s="49"/>
      <c r="H516"/>
      <c r="I516"/>
      <c r="L516" s="10"/>
    </row>
    <row r="517" spans="1:12" s="8" customFormat="1">
      <c r="A517" s="9"/>
      <c r="B517" s="19"/>
      <c r="C517" s="18"/>
      <c r="D517" s="18"/>
      <c r="F517" s="7"/>
      <c r="G517" s="49"/>
      <c r="H517"/>
      <c r="I517"/>
      <c r="L517" s="10"/>
    </row>
    <row r="518" spans="1:12" s="8" customFormat="1">
      <c r="A518" s="9"/>
      <c r="B518" s="19"/>
      <c r="C518" s="18"/>
      <c r="D518" s="18"/>
      <c r="F518" s="7"/>
      <c r="G518" s="49"/>
      <c r="H518"/>
      <c r="I518"/>
      <c r="L518" s="10"/>
    </row>
    <row r="519" spans="1:12" s="8" customFormat="1">
      <c r="A519" s="9"/>
      <c r="B519" s="19"/>
      <c r="C519" s="18"/>
      <c r="D519" s="18"/>
      <c r="F519" s="7"/>
      <c r="G519" s="49"/>
      <c r="H519"/>
      <c r="I519"/>
      <c r="L519" s="10"/>
    </row>
    <row r="520" spans="1:12" s="8" customFormat="1">
      <c r="A520" s="9"/>
      <c r="B520" s="19"/>
      <c r="C520" s="18"/>
      <c r="D520" s="18"/>
      <c r="F520" s="7"/>
      <c r="G520" s="49"/>
      <c r="H520"/>
      <c r="I520"/>
      <c r="L520" s="10"/>
    </row>
    <row r="521" spans="1:12" s="8" customFormat="1">
      <c r="A521" s="9"/>
      <c r="B521" s="19"/>
      <c r="C521" s="18"/>
      <c r="D521" s="18"/>
      <c r="F521" s="7"/>
      <c r="G521" s="49"/>
      <c r="H521"/>
      <c r="I521"/>
      <c r="L521" s="10"/>
    </row>
    <row r="522" spans="1:12" s="8" customFormat="1">
      <c r="A522" s="9"/>
      <c r="B522" s="19"/>
      <c r="C522" s="18"/>
      <c r="D522" s="18"/>
      <c r="F522" s="7"/>
      <c r="G522" s="49"/>
      <c r="H522"/>
      <c r="I522"/>
      <c r="L522" s="10"/>
    </row>
    <row r="523" spans="1:12" s="8" customFormat="1">
      <c r="A523" s="9"/>
      <c r="B523" s="19"/>
      <c r="C523" s="18"/>
      <c r="D523" s="18"/>
      <c r="F523" s="7"/>
      <c r="G523" s="49"/>
      <c r="H523"/>
      <c r="I523"/>
      <c r="L523" s="10"/>
    </row>
    <row r="524" spans="1:12" s="8" customFormat="1">
      <c r="A524" s="9"/>
      <c r="B524" s="19"/>
      <c r="C524" s="18"/>
      <c r="D524" s="18"/>
      <c r="F524" s="7"/>
      <c r="G524" s="49"/>
      <c r="H524"/>
      <c r="I524"/>
      <c r="L524" s="10"/>
    </row>
    <row r="525" spans="1:12" s="8" customFormat="1">
      <c r="A525" s="9"/>
      <c r="B525" s="19"/>
      <c r="C525" s="18"/>
      <c r="D525" s="18"/>
      <c r="F525" s="7"/>
      <c r="G525" s="49"/>
      <c r="H525"/>
      <c r="I525"/>
      <c r="L525" s="10"/>
    </row>
    <row r="526" spans="1:12" s="8" customFormat="1">
      <c r="A526" s="9"/>
      <c r="B526" s="19"/>
      <c r="C526" s="18"/>
      <c r="D526" s="18"/>
      <c r="F526" s="7"/>
      <c r="G526" s="49"/>
      <c r="H526"/>
      <c r="I526"/>
      <c r="L526" s="10"/>
    </row>
    <row r="527" spans="1:12" s="8" customFormat="1">
      <c r="A527" s="9"/>
      <c r="B527" s="19"/>
      <c r="C527" s="18"/>
      <c r="D527" s="18"/>
      <c r="F527" s="7"/>
      <c r="G527" s="49"/>
      <c r="H527"/>
      <c r="I527"/>
      <c r="L527" s="10"/>
    </row>
    <row r="528" spans="1:12" s="8" customFormat="1">
      <c r="A528" s="9"/>
      <c r="B528" s="19"/>
      <c r="C528" s="18"/>
      <c r="D528" s="18"/>
      <c r="F528" s="7"/>
      <c r="G528" s="49"/>
      <c r="H528"/>
      <c r="I528"/>
      <c r="L528" s="10"/>
    </row>
    <row r="529" spans="1:12" s="8" customFormat="1">
      <c r="A529" s="9"/>
      <c r="B529" s="19"/>
      <c r="C529" s="18"/>
      <c r="D529" s="18"/>
      <c r="F529" s="7"/>
      <c r="G529" s="49"/>
      <c r="H529"/>
      <c r="I529"/>
      <c r="L529" s="10"/>
    </row>
    <row r="530" spans="1:12" s="8" customFormat="1">
      <c r="A530" s="9"/>
      <c r="B530" s="19"/>
      <c r="C530" s="18"/>
      <c r="D530" s="18"/>
      <c r="F530" s="7"/>
      <c r="G530" s="49"/>
      <c r="H530"/>
      <c r="I530"/>
      <c r="L530" s="10"/>
    </row>
    <row r="531" spans="1:12" s="8" customFormat="1">
      <c r="A531" s="9"/>
      <c r="B531" s="19"/>
      <c r="C531" s="18"/>
      <c r="D531" s="18"/>
      <c r="F531" s="7"/>
      <c r="G531" s="49"/>
      <c r="H531"/>
      <c r="I531"/>
      <c r="L531" s="10"/>
    </row>
    <row r="532" spans="1:12" s="8" customFormat="1">
      <c r="A532" s="9"/>
      <c r="B532" s="19"/>
      <c r="C532" s="18"/>
      <c r="D532" s="18"/>
      <c r="F532" s="7"/>
      <c r="G532" s="49"/>
      <c r="H532"/>
      <c r="I532"/>
      <c r="L532" s="10"/>
    </row>
    <row r="533" spans="1:12" s="8" customFormat="1">
      <c r="A533" s="9"/>
      <c r="B533" s="19"/>
      <c r="C533" s="18"/>
      <c r="D533" s="18"/>
      <c r="F533" s="7"/>
      <c r="G533" s="49"/>
      <c r="H533"/>
      <c r="I533"/>
      <c r="L533" s="10"/>
    </row>
    <row r="534" spans="1:12" s="8" customFormat="1">
      <c r="A534" s="9"/>
      <c r="B534" s="19"/>
      <c r="C534" s="18"/>
      <c r="D534" s="18"/>
      <c r="F534" s="7"/>
      <c r="G534" s="49"/>
      <c r="H534"/>
      <c r="I534"/>
      <c r="L534" s="10"/>
    </row>
    <row r="535" spans="1:12" s="8" customFormat="1">
      <c r="A535" s="9"/>
      <c r="B535" s="19"/>
      <c r="C535" s="18"/>
      <c r="D535" s="18"/>
      <c r="F535" s="7"/>
      <c r="G535" s="49"/>
      <c r="H535"/>
      <c r="I535"/>
      <c r="L535" s="10"/>
    </row>
    <row r="536" spans="1:12" s="8" customFormat="1">
      <c r="A536" s="9"/>
      <c r="B536" s="19"/>
      <c r="C536" s="18"/>
      <c r="D536" s="18"/>
      <c r="F536" s="7"/>
      <c r="G536" s="49"/>
      <c r="H536"/>
      <c r="I536"/>
      <c r="L536" s="10"/>
    </row>
    <row r="537" spans="1:12" s="8" customFormat="1">
      <c r="A537" s="9"/>
      <c r="B537" s="19"/>
      <c r="C537" s="18"/>
      <c r="D537" s="18"/>
      <c r="F537" s="7"/>
      <c r="G537" s="49"/>
      <c r="H537"/>
      <c r="I537"/>
      <c r="L537" s="10"/>
    </row>
    <row r="538" spans="1:12" s="8" customFormat="1">
      <c r="A538" s="9"/>
      <c r="B538" s="19"/>
      <c r="C538" s="18"/>
      <c r="D538" s="18"/>
      <c r="F538" s="7"/>
      <c r="G538" s="49"/>
      <c r="H538"/>
      <c r="I538"/>
      <c r="L538" s="10"/>
    </row>
    <row r="539" spans="1:12" s="8" customFormat="1">
      <c r="A539" s="9"/>
      <c r="B539" s="19"/>
      <c r="C539" s="18"/>
      <c r="D539" s="18"/>
      <c r="F539" s="7"/>
      <c r="G539" s="49"/>
      <c r="H539"/>
      <c r="I539"/>
      <c r="L539" s="10"/>
    </row>
    <row r="540" spans="1:12" s="8" customFormat="1">
      <c r="A540" s="9"/>
      <c r="B540" s="19"/>
      <c r="C540" s="18"/>
      <c r="D540" s="18"/>
      <c r="F540" s="7"/>
      <c r="G540" s="49"/>
      <c r="H540"/>
      <c r="I540"/>
      <c r="L540" s="10"/>
    </row>
    <row r="541" spans="1:12" s="8" customFormat="1">
      <c r="A541" s="9"/>
      <c r="B541" s="19"/>
      <c r="C541" s="18"/>
      <c r="D541" s="18"/>
      <c r="F541" s="7"/>
      <c r="G541" s="49"/>
      <c r="H541"/>
      <c r="I541"/>
      <c r="L541" s="10"/>
    </row>
    <row r="542" spans="1:12" s="8" customFormat="1">
      <c r="A542" s="9"/>
      <c r="B542" s="19"/>
      <c r="C542" s="18"/>
      <c r="D542" s="18"/>
      <c r="F542" s="7"/>
      <c r="G542" s="49"/>
      <c r="H542"/>
      <c r="I542"/>
      <c r="L542" s="10"/>
    </row>
    <row r="543" spans="1:12" s="8" customFormat="1">
      <c r="A543" s="9"/>
      <c r="B543" s="19"/>
      <c r="C543" s="18"/>
      <c r="D543" s="18"/>
      <c r="F543" s="7"/>
      <c r="G543" s="49"/>
      <c r="H543"/>
      <c r="I543"/>
      <c r="L543" s="10"/>
    </row>
    <row r="544" spans="1:12" s="8" customFormat="1">
      <c r="A544" s="9"/>
      <c r="B544" s="19"/>
      <c r="C544" s="18"/>
      <c r="D544" s="18"/>
      <c r="F544" s="7"/>
      <c r="G544" s="49"/>
      <c r="H544"/>
      <c r="I544"/>
      <c r="L544" s="10"/>
    </row>
    <row r="545" spans="1:12" s="8" customFormat="1">
      <c r="A545" s="9"/>
      <c r="B545" s="19"/>
      <c r="C545" s="18"/>
      <c r="D545" s="18"/>
      <c r="F545" s="7"/>
      <c r="G545" s="49"/>
      <c r="H545"/>
      <c r="I545"/>
      <c r="L545" s="10"/>
    </row>
    <row r="546" spans="1:12" s="8" customFormat="1">
      <c r="A546" s="9"/>
      <c r="B546" s="19"/>
      <c r="C546" s="18"/>
      <c r="D546" s="18"/>
      <c r="F546" s="7"/>
      <c r="G546" s="49"/>
      <c r="H546"/>
      <c r="I546"/>
      <c r="L546" s="10"/>
    </row>
    <row r="547" spans="1:12" s="8" customFormat="1">
      <c r="A547" s="9"/>
      <c r="B547" s="19"/>
      <c r="C547" s="18"/>
      <c r="D547" s="18"/>
      <c r="F547" s="7"/>
      <c r="G547" s="49"/>
      <c r="H547"/>
      <c r="I547"/>
      <c r="L547" s="10"/>
    </row>
    <row r="548" spans="1:12" s="8" customFormat="1">
      <c r="A548" s="9"/>
      <c r="B548" s="19"/>
      <c r="C548" s="18"/>
      <c r="D548" s="18"/>
      <c r="F548" s="7"/>
      <c r="G548" s="49"/>
      <c r="H548"/>
      <c r="I548"/>
      <c r="L548" s="10"/>
    </row>
    <row r="549" spans="1:12" s="8" customFormat="1">
      <c r="A549" s="9"/>
      <c r="B549" s="19"/>
      <c r="C549" s="18"/>
      <c r="D549" s="18"/>
      <c r="F549" s="7"/>
      <c r="G549" s="49"/>
      <c r="H549"/>
      <c r="I549"/>
      <c r="L549" s="10"/>
    </row>
    <row r="550" spans="1:12" s="8" customFormat="1">
      <c r="A550" s="9"/>
      <c r="B550" s="19"/>
      <c r="C550" s="18"/>
      <c r="D550" s="18"/>
      <c r="F550" s="7"/>
      <c r="G550" s="49"/>
      <c r="H550"/>
      <c r="I550"/>
      <c r="L550" s="10"/>
    </row>
    <row r="551" spans="1:12" s="8" customFormat="1">
      <c r="A551" s="9"/>
      <c r="B551" s="19"/>
      <c r="C551" s="18"/>
      <c r="D551" s="18"/>
      <c r="F551" s="7"/>
      <c r="G551" s="49"/>
      <c r="H551"/>
      <c r="I551"/>
      <c r="L551" s="10"/>
    </row>
    <row r="552" spans="1:12" s="8" customFormat="1">
      <c r="A552" s="9"/>
      <c r="B552" s="19"/>
      <c r="C552" s="18"/>
      <c r="D552" s="18"/>
      <c r="F552" s="7"/>
      <c r="G552" s="49"/>
      <c r="H552"/>
      <c r="I552"/>
      <c r="L552" s="10"/>
    </row>
    <row r="553" spans="1:12" s="8" customFormat="1">
      <c r="A553" s="9"/>
      <c r="B553" s="19"/>
      <c r="C553" s="18"/>
      <c r="D553" s="18"/>
      <c r="F553" s="7"/>
      <c r="G553" s="49"/>
      <c r="H553"/>
      <c r="I553"/>
      <c r="L553" s="10"/>
    </row>
    <row r="554" spans="1:12" s="8" customFormat="1">
      <c r="A554" s="9"/>
      <c r="B554" s="19"/>
      <c r="C554" s="18"/>
      <c r="D554" s="18"/>
      <c r="F554" s="7"/>
      <c r="G554" s="49"/>
      <c r="H554"/>
      <c r="I554"/>
      <c r="L554" s="10"/>
    </row>
    <row r="555" spans="1:12" s="8" customFormat="1">
      <c r="A555" s="9"/>
      <c r="B555" s="19"/>
      <c r="C555" s="18"/>
      <c r="D555" s="18"/>
      <c r="F555" s="7"/>
      <c r="G555" s="49"/>
      <c r="H555"/>
      <c r="I555"/>
      <c r="L555" s="10"/>
    </row>
    <row r="556" spans="1:12" s="8" customFormat="1">
      <c r="A556" s="9"/>
      <c r="B556" s="19"/>
      <c r="C556" s="18"/>
      <c r="D556" s="18"/>
      <c r="F556" s="7"/>
      <c r="G556" s="49"/>
      <c r="H556"/>
      <c r="I556"/>
      <c r="L556" s="10"/>
    </row>
    <row r="557" spans="1:12" s="8" customFormat="1">
      <c r="A557" s="9"/>
      <c r="B557" s="19"/>
      <c r="C557" s="18"/>
      <c r="D557" s="18"/>
      <c r="F557" s="7"/>
      <c r="G557" s="49"/>
      <c r="H557"/>
      <c r="I557"/>
      <c r="L557" s="10"/>
    </row>
    <row r="558" spans="1:12" s="8" customFormat="1">
      <c r="A558" s="9"/>
      <c r="B558" s="19"/>
      <c r="C558" s="18"/>
      <c r="D558" s="18"/>
      <c r="F558" s="7"/>
      <c r="G558" s="49"/>
      <c r="H558"/>
      <c r="I558"/>
      <c r="L558" s="10"/>
    </row>
    <row r="559" spans="1:12" s="8" customFormat="1">
      <c r="A559" s="9"/>
      <c r="B559" s="19"/>
      <c r="C559" s="18"/>
      <c r="D559" s="18"/>
      <c r="F559" s="7"/>
      <c r="G559" s="49"/>
      <c r="H559"/>
      <c r="I559"/>
      <c r="L559" s="10"/>
    </row>
    <row r="560" spans="1:12" s="8" customFormat="1">
      <c r="A560" s="9"/>
      <c r="B560" s="19"/>
      <c r="C560" s="18"/>
      <c r="D560" s="18"/>
      <c r="F560" s="7"/>
      <c r="G560" s="49"/>
      <c r="H560"/>
      <c r="I560"/>
      <c r="L560" s="10"/>
    </row>
    <row r="561" spans="1:12" s="8" customFormat="1">
      <c r="A561" s="9"/>
      <c r="B561" s="19"/>
      <c r="C561" s="18"/>
      <c r="D561" s="18"/>
      <c r="F561" s="7"/>
      <c r="G561" s="49"/>
      <c r="H561"/>
      <c r="I561"/>
      <c r="L561" s="10"/>
    </row>
    <row r="562" spans="1:12" s="8" customFormat="1">
      <c r="A562" s="9"/>
      <c r="B562" s="19"/>
      <c r="C562" s="18"/>
      <c r="D562" s="18"/>
      <c r="F562" s="7"/>
      <c r="G562" s="49"/>
      <c r="H562"/>
      <c r="I562"/>
      <c r="L562" s="10"/>
    </row>
    <row r="563" spans="1:12" s="8" customFormat="1">
      <c r="A563" s="9"/>
      <c r="B563" s="19"/>
      <c r="C563" s="18"/>
      <c r="D563" s="18"/>
      <c r="F563" s="7"/>
      <c r="G563" s="49"/>
      <c r="H563"/>
      <c r="I563"/>
      <c r="L563" s="10"/>
    </row>
    <row r="564" spans="1:12" s="8" customFormat="1">
      <c r="A564" s="9"/>
      <c r="B564" s="19"/>
      <c r="C564" s="18"/>
      <c r="D564" s="18"/>
      <c r="F564" s="7"/>
      <c r="G564" s="49"/>
      <c r="H564"/>
      <c r="I564"/>
      <c r="L564" s="10"/>
    </row>
    <row r="565" spans="1:12" s="8" customFormat="1">
      <c r="A565" s="9"/>
      <c r="B565" s="19"/>
      <c r="C565" s="18"/>
      <c r="D565" s="18"/>
      <c r="F565" s="7"/>
      <c r="G565" s="49"/>
      <c r="H565"/>
      <c r="I565"/>
      <c r="L565" s="10"/>
    </row>
    <row r="566" spans="1:12" s="8" customFormat="1">
      <c r="A566" s="9"/>
      <c r="B566" s="19"/>
      <c r="C566" s="18"/>
      <c r="D566" s="18"/>
      <c r="F566" s="7"/>
      <c r="G566" s="49"/>
      <c r="H566"/>
      <c r="I566"/>
      <c r="L566" s="10"/>
    </row>
    <row r="567" spans="1:12" s="8" customFormat="1">
      <c r="A567" s="9"/>
      <c r="B567" s="19"/>
      <c r="C567" s="18"/>
      <c r="D567" s="18"/>
      <c r="F567" s="7"/>
      <c r="G567" s="49"/>
      <c r="H567"/>
      <c r="I567"/>
      <c r="L567" s="10"/>
    </row>
    <row r="568" spans="1:12" s="8" customFormat="1">
      <c r="A568" s="9"/>
      <c r="B568" s="19"/>
      <c r="C568" s="18"/>
      <c r="D568" s="18"/>
      <c r="F568" s="7"/>
      <c r="G568" s="49"/>
      <c r="H568"/>
      <c r="I568"/>
      <c r="L568" s="10"/>
    </row>
    <row r="569" spans="1:12" s="8" customFormat="1">
      <c r="A569" s="9"/>
      <c r="B569" s="19"/>
      <c r="C569" s="18"/>
      <c r="D569" s="18"/>
      <c r="F569" s="7"/>
      <c r="G569" s="49"/>
      <c r="H569"/>
      <c r="I569"/>
      <c r="L569" s="10"/>
    </row>
    <row r="570" spans="1:12" s="8" customFormat="1">
      <c r="A570" s="9"/>
      <c r="B570" s="19"/>
      <c r="C570" s="18"/>
      <c r="D570" s="18"/>
      <c r="F570" s="7"/>
      <c r="G570" s="49"/>
      <c r="H570"/>
      <c r="I570"/>
      <c r="L570" s="10"/>
    </row>
    <row r="571" spans="1:12" s="8" customFormat="1">
      <c r="A571" s="9"/>
      <c r="B571" s="19"/>
      <c r="C571" s="18"/>
      <c r="D571" s="18"/>
      <c r="F571" s="7"/>
      <c r="G571" s="49"/>
      <c r="H571"/>
      <c r="I571"/>
      <c r="L571" s="10"/>
    </row>
    <row r="572" spans="1:12" s="8" customFormat="1">
      <c r="A572" s="9"/>
      <c r="B572" s="19"/>
      <c r="C572" s="18"/>
      <c r="D572" s="18"/>
      <c r="F572" s="7"/>
      <c r="G572" s="49"/>
      <c r="H572"/>
      <c r="I572"/>
      <c r="L572" s="10"/>
    </row>
    <row r="573" spans="1:12" s="8" customFormat="1">
      <c r="A573" s="9"/>
      <c r="B573" s="19"/>
      <c r="C573" s="18"/>
      <c r="D573" s="18"/>
      <c r="F573" s="7"/>
      <c r="G573" s="49"/>
      <c r="H573"/>
      <c r="I573"/>
      <c r="L573" s="10"/>
    </row>
    <row r="574" spans="1:12" s="8" customFormat="1">
      <c r="A574" s="9"/>
      <c r="B574" s="19"/>
      <c r="C574" s="18"/>
      <c r="D574" s="18"/>
      <c r="F574" s="7"/>
      <c r="G574" s="49"/>
      <c r="H574"/>
      <c r="I574"/>
      <c r="L574" s="10"/>
    </row>
    <row r="575" spans="1:12" s="8" customFormat="1">
      <c r="A575" s="9"/>
      <c r="B575" s="19"/>
      <c r="C575" s="18"/>
      <c r="D575" s="18"/>
      <c r="F575" s="7"/>
      <c r="G575" s="49"/>
      <c r="H575"/>
      <c r="I575"/>
      <c r="L575" s="10"/>
    </row>
    <row r="576" spans="1:12" s="8" customFormat="1">
      <c r="A576" s="9"/>
      <c r="B576" s="19"/>
      <c r="C576" s="18"/>
      <c r="D576" s="18"/>
      <c r="F576" s="7"/>
      <c r="G576" s="49"/>
      <c r="H576"/>
      <c r="I576"/>
      <c r="L576" s="10"/>
    </row>
    <row r="577" spans="1:12" s="8" customFormat="1">
      <c r="A577" s="9"/>
      <c r="B577" s="19"/>
      <c r="C577" s="18"/>
      <c r="D577" s="18"/>
      <c r="F577" s="7"/>
      <c r="G577" s="49"/>
      <c r="H577"/>
      <c r="I577"/>
      <c r="L577" s="10"/>
    </row>
    <row r="578" spans="1:12" s="8" customFormat="1">
      <c r="A578" s="9"/>
      <c r="B578" s="19"/>
      <c r="C578" s="18"/>
      <c r="D578" s="18"/>
      <c r="F578" s="7"/>
      <c r="G578" s="49"/>
      <c r="H578"/>
      <c r="I578"/>
      <c r="L578" s="10"/>
    </row>
    <row r="579" spans="1:12" s="8" customFormat="1">
      <c r="A579" s="9"/>
      <c r="B579" s="19"/>
      <c r="C579" s="18"/>
      <c r="D579" s="18"/>
      <c r="F579" s="7"/>
      <c r="G579" s="49"/>
      <c r="H579"/>
      <c r="I579"/>
      <c r="L579" s="10"/>
    </row>
    <row r="580" spans="1:12" s="8" customFormat="1">
      <c r="A580" s="9"/>
      <c r="B580" s="19"/>
      <c r="C580" s="18"/>
      <c r="D580" s="18"/>
      <c r="F580" s="7"/>
      <c r="G580" s="49"/>
      <c r="H580"/>
      <c r="I580"/>
      <c r="L580" s="10"/>
    </row>
    <row r="581" spans="1:12" s="8" customFormat="1">
      <c r="A581" s="9"/>
      <c r="B581" s="19"/>
      <c r="C581" s="18"/>
      <c r="D581" s="18"/>
      <c r="F581" s="7"/>
      <c r="G581" s="49"/>
      <c r="H581"/>
      <c r="I581"/>
      <c r="L581" s="10"/>
    </row>
    <row r="582" spans="1:12" s="8" customFormat="1">
      <c r="A582" s="9"/>
      <c r="B582" s="19"/>
      <c r="C582" s="18"/>
      <c r="D582" s="18"/>
      <c r="F582" s="7"/>
      <c r="G582" s="49"/>
      <c r="H582"/>
      <c r="I582"/>
      <c r="L582" s="10"/>
    </row>
    <row r="583" spans="1:12" s="8" customFormat="1">
      <c r="A583" s="9"/>
      <c r="B583" s="19"/>
      <c r="C583" s="18"/>
      <c r="D583" s="18"/>
      <c r="F583" s="7"/>
      <c r="G583" s="49"/>
      <c r="H583"/>
      <c r="I583"/>
      <c r="L583" s="10"/>
    </row>
    <row r="584" spans="1:12" s="8" customFormat="1">
      <c r="A584" s="9"/>
      <c r="B584" s="19"/>
      <c r="C584" s="18"/>
      <c r="D584" s="18"/>
      <c r="F584" s="7"/>
      <c r="G584" s="49"/>
      <c r="H584"/>
      <c r="I584"/>
      <c r="L584" s="10"/>
    </row>
    <row r="585" spans="1:12" s="8" customFormat="1">
      <c r="A585" s="9"/>
      <c r="B585" s="19"/>
      <c r="C585" s="18"/>
      <c r="D585" s="18"/>
      <c r="F585" s="7"/>
      <c r="G585" s="49"/>
      <c r="H585"/>
      <c r="I585"/>
      <c r="L585" s="10"/>
    </row>
    <row r="586" spans="1:12" s="8" customFormat="1">
      <c r="A586" s="9"/>
      <c r="B586" s="19"/>
      <c r="C586" s="18"/>
      <c r="D586" s="18"/>
      <c r="F586" s="7"/>
      <c r="G586" s="49"/>
      <c r="H586"/>
      <c r="I586"/>
      <c r="L586" s="10"/>
    </row>
    <row r="587" spans="1:12" s="8" customFormat="1">
      <c r="A587" s="9"/>
      <c r="B587" s="19"/>
      <c r="C587" s="18"/>
      <c r="D587" s="18"/>
      <c r="F587" s="7"/>
      <c r="G587" s="49"/>
      <c r="H587"/>
      <c r="I587"/>
      <c r="L587" s="10"/>
    </row>
    <row r="588" spans="1:12" s="8" customFormat="1">
      <c r="A588" s="9"/>
      <c r="B588" s="19"/>
      <c r="C588" s="18"/>
      <c r="D588" s="18"/>
      <c r="F588" s="7"/>
      <c r="G588" s="49"/>
      <c r="H588"/>
      <c r="I588"/>
      <c r="L588" s="10"/>
    </row>
    <row r="589" spans="1:12" s="8" customFormat="1">
      <c r="A589" s="9"/>
      <c r="B589" s="19"/>
      <c r="C589" s="18"/>
      <c r="D589" s="18"/>
      <c r="F589" s="7"/>
      <c r="G589" s="49"/>
      <c r="H589"/>
      <c r="I589"/>
      <c r="L589" s="10"/>
    </row>
    <row r="590" spans="1:12" s="8" customFormat="1">
      <c r="A590" s="9"/>
      <c r="B590" s="19"/>
      <c r="C590" s="18"/>
      <c r="D590" s="18"/>
      <c r="F590" s="7"/>
      <c r="G590" s="49"/>
      <c r="H590"/>
      <c r="I590"/>
      <c r="L590" s="10"/>
    </row>
    <row r="591" spans="1:12" s="8" customFormat="1">
      <c r="A591" s="9"/>
      <c r="B591" s="19"/>
      <c r="C591" s="18"/>
      <c r="D591" s="18"/>
      <c r="F591" s="7"/>
      <c r="G591" s="49"/>
      <c r="H591"/>
      <c r="I591"/>
      <c r="L591" s="10"/>
    </row>
    <row r="592" spans="1:12" s="8" customFormat="1">
      <c r="A592" s="9"/>
      <c r="B592" s="19"/>
      <c r="C592" s="18"/>
      <c r="D592" s="18"/>
      <c r="F592" s="7"/>
      <c r="G592" s="49"/>
      <c r="H592"/>
      <c r="I592"/>
      <c r="L592" s="10"/>
    </row>
    <row r="593" spans="1:12" s="8" customFormat="1">
      <c r="A593" s="9"/>
      <c r="B593" s="19"/>
      <c r="C593" s="18"/>
      <c r="D593" s="18"/>
      <c r="F593" s="7"/>
      <c r="G593" s="49"/>
      <c r="H593"/>
      <c r="I593"/>
      <c r="L593" s="10"/>
    </row>
    <row r="594" spans="1:12" s="8" customFormat="1">
      <c r="A594" s="9"/>
      <c r="B594" s="19"/>
      <c r="C594" s="18"/>
      <c r="D594" s="18"/>
      <c r="F594" s="7"/>
      <c r="G594" s="49"/>
      <c r="H594"/>
      <c r="I594"/>
      <c r="L594" s="10"/>
    </row>
    <row r="595" spans="1:12" s="8" customFormat="1">
      <c r="A595" s="9"/>
      <c r="B595" s="19"/>
      <c r="C595" s="18"/>
      <c r="D595" s="18"/>
      <c r="F595" s="7"/>
      <c r="G595" s="49"/>
      <c r="H595"/>
      <c r="I595"/>
      <c r="L595" s="10"/>
    </row>
    <row r="596" spans="1:12" s="8" customFormat="1">
      <c r="A596" s="9"/>
      <c r="B596" s="19"/>
      <c r="C596" s="18"/>
      <c r="D596" s="18"/>
      <c r="F596" s="7"/>
      <c r="G596" s="49"/>
      <c r="H596"/>
      <c r="I596"/>
      <c r="L596" s="10"/>
    </row>
    <row r="597" spans="1:12" s="8" customFormat="1">
      <c r="A597" s="9"/>
      <c r="B597" s="19"/>
      <c r="C597" s="18"/>
      <c r="D597" s="18"/>
      <c r="F597" s="7"/>
      <c r="G597" s="49"/>
      <c r="H597"/>
      <c r="I597"/>
      <c r="L597" s="10"/>
    </row>
    <row r="598" spans="1:12" s="8" customFormat="1">
      <c r="A598" s="9"/>
      <c r="B598" s="19"/>
      <c r="C598" s="18"/>
      <c r="D598" s="18"/>
      <c r="F598" s="7"/>
      <c r="G598" s="49"/>
      <c r="H598"/>
      <c r="I598"/>
      <c r="L598" s="10"/>
    </row>
    <row r="599" spans="1:12" s="8" customFormat="1">
      <c r="A599" s="9"/>
      <c r="B599" s="19"/>
      <c r="C599" s="18"/>
      <c r="D599" s="18"/>
      <c r="F599" s="7"/>
      <c r="G599" s="49"/>
      <c r="H599"/>
      <c r="I599"/>
      <c r="L599" s="10"/>
    </row>
    <row r="600" spans="1:12" s="8" customFormat="1">
      <c r="A600" s="9"/>
      <c r="B600" s="19"/>
      <c r="C600" s="18"/>
      <c r="D600" s="18"/>
      <c r="F600" s="7"/>
      <c r="G600" s="49"/>
      <c r="H600"/>
      <c r="I600"/>
      <c r="L600" s="10"/>
    </row>
    <row r="601" spans="1:12" s="8" customFormat="1">
      <c r="A601" s="9"/>
      <c r="B601" s="19"/>
      <c r="C601" s="18"/>
      <c r="D601" s="18"/>
      <c r="F601" s="7"/>
      <c r="G601" s="49"/>
      <c r="H601"/>
      <c r="I601"/>
      <c r="L601" s="10"/>
    </row>
    <row r="602" spans="1:12" s="8" customFormat="1">
      <c r="A602" s="9"/>
      <c r="B602" s="19"/>
      <c r="C602" s="18"/>
      <c r="D602" s="18"/>
      <c r="F602" s="7"/>
      <c r="G602" s="49"/>
      <c r="H602"/>
      <c r="I602"/>
      <c r="L602" s="10"/>
    </row>
    <row r="603" spans="1:12" s="8" customFormat="1">
      <c r="A603" s="9"/>
      <c r="B603" s="19"/>
      <c r="C603" s="18"/>
      <c r="D603" s="18"/>
      <c r="F603" s="7"/>
      <c r="G603" s="49"/>
      <c r="H603"/>
      <c r="I603"/>
      <c r="L603" s="10"/>
    </row>
    <row r="604" spans="1:12" s="8" customFormat="1">
      <c r="A604" s="9"/>
      <c r="B604" s="19"/>
      <c r="C604" s="18"/>
      <c r="D604" s="18"/>
      <c r="F604" s="7"/>
      <c r="G604" s="49"/>
      <c r="H604"/>
      <c r="I604"/>
      <c r="L604" s="10"/>
    </row>
    <row r="605" spans="1:12" s="8" customFormat="1">
      <c r="A605" s="9"/>
      <c r="B605" s="19"/>
      <c r="C605" s="18"/>
      <c r="D605" s="18"/>
      <c r="F605" s="7"/>
      <c r="G605" s="49"/>
      <c r="H605"/>
      <c r="I605"/>
      <c r="L605" s="10"/>
    </row>
    <row r="606" spans="1:12" s="8" customFormat="1">
      <c r="A606" s="9"/>
      <c r="B606" s="19"/>
      <c r="C606" s="18"/>
      <c r="D606" s="18"/>
      <c r="F606" s="7"/>
      <c r="G606" s="49"/>
      <c r="H606"/>
      <c r="I606"/>
      <c r="L606" s="10"/>
    </row>
    <row r="607" spans="1:12" s="8" customFormat="1">
      <c r="A607" s="9"/>
      <c r="B607" s="19"/>
      <c r="C607" s="18"/>
      <c r="D607" s="18"/>
      <c r="F607" s="7"/>
      <c r="G607" s="49"/>
      <c r="H607"/>
      <c r="I607"/>
      <c r="L607" s="10"/>
    </row>
    <row r="608" spans="1:12" s="8" customFormat="1">
      <c r="A608" s="9"/>
      <c r="B608" s="19"/>
      <c r="C608" s="18"/>
      <c r="D608" s="18"/>
      <c r="F608" s="7"/>
      <c r="G608" s="49"/>
      <c r="H608"/>
      <c r="I608"/>
      <c r="L608" s="10"/>
    </row>
    <row r="609" spans="1:12" s="8" customFormat="1">
      <c r="A609" s="9"/>
      <c r="B609" s="19"/>
      <c r="C609" s="18"/>
      <c r="D609" s="18"/>
      <c r="F609" s="7"/>
      <c r="G609" s="49"/>
      <c r="H609"/>
      <c r="I609"/>
      <c r="L609" s="10"/>
    </row>
    <row r="610" spans="1:12" s="8" customFormat="1">
      <c r="A610" s="9"/>
      <c r="B610" s="19"/>
      <c r="C610" s="18"/>
      <c r="D610" s="18"/>
      <c r="F610" s="7"/>
      <c r="G610" s="49"/>
      <c r="H610"/>
      <c r="I610"/>
      <c r="L610" s="10"/>
    </row>
    <row r="611" spans="1:12" s="8" customFormat="1">
      <c r="A611" s="9"/>
      <c r="B611" s="19"/>
      <c r="C611" s="18"/>
      <c r="D611" s="18"/>
      <c r="F611" s="7"/>
      <c r="G611" s="49"/>
      <c r="H611"/>
      <c r="I611"/>
      <c r="L611" s="10"/>
    </row>
    <row r="612" spans="1:12" s="8" customFormat="1">
      <c r="A612" s="9"/>
      <c r="B612" s="19"/>
      <c r="C612" s="18"/>
      <c r="D612" s="18"/>
      <c r="F612" s="7"/>
      <c r="G612" s="49"/>
      <c r="H612"/>
      <c r="I612"/>
      <c r="L612" s="10"/>
    </row>
    <row r="613" spans="1:12" s="8" customFormat="1">
      <c r="A613" s="9"/>
      <c r="B613" s="19"/>
      <c r="C613" s="18"/>
      <c r="D613" s="18"/>
      <c r="F613" s="7"/>
      <c r="G613" s="49"/>
      <c r="H613"/>
      <c r="I613"/>
      <c r="L613" s="10"/>
    </row>
    <row r="614" spans="1:12" s="8" customFormat="1">
      <c r="A614" s="9"/>
      <c r="B614" s="19"/>
      <c r="C614" s="18"/>
      <c r="D614" s="18"/>
      <c r="F614" s="7"/>
      <c r="G614" s="49"/>
      <c r="H614"/>
      <c r="I614"/>
      <c r="L614" s="10"/>
    </row>
    <row r="615" spans="1:12" s="8" customFormat="1">
      <c r="A615" s="9"/>
      <c r="B615" s="19"/>
      <c r="C615" s="18"/>
      <c r="D615" s="18"/>
      <c r="F615" s="7"/>
      <c r="G615" s="49"/>
      <c r="H615"/>
      <c r="I615"/>
      <c r="L615" s="10"/>
    </row>
    <row r="616" spans="1:12" s="8" customFormat="1">
      <c r="A616" s="9"/>
      <c r="B616" s="19"/>
      <c r="C616" s="18"/>
      <c r="D616" s="18"/>
      <c r="F616" s="7"/>
      <c r="G616" s="49"/>
      <c r="H616"/>
      <c r="I616"/>
      <c r="L616" s="10"/>
    </row>
    <row r="617" spans="1:12" s="8" customFormat="1">
      <c r="A617" s="9"/>
      <c r="B617" s="19"/>
      <c r="C617" s="18"/>
      <c r="D617" s="18"/>
      <c r="F617" s="7"/>
      <c r="G617" s="49"/>
      <c r="H617"/>
      <c r="I617"/>
      <c r="L617" s="10"/>
    </row>
    <row r="618" spans="1:12" s="8" customFormat="1">
      <c r="A618" s="9"/>
      <c r="B618" s="19"/>
      <c r="C618" s="18"/>
      <c r="D618" s="18"/>
      <c r="F618" s="7"/>
      <c r="G618" s="49"/>
      <c r="H618"/>
      <c r="I618"/>
      <c r="L618" s="10"/>
    </row>
    <row r="619" spans="1:12" s="8" customFormat="1">
      <c r="A619" s="9"/>
      <c r="B619" s="19"/>
      <c r="C619" s="18"/>
      <c r="D619" s="18"/>
      <c r="F619" s="7"/>
      <c r="G619" s="49"/>
      <c r="H619"/>
      <c r="I619"/>
      <c r="L619" s="10"/>
    </row>
    <row r="620" spans="1:12" s="8" customFormat="1">
      <c r="A620" s="9"/>
      <c r="B620" s="19"/>
      <c r="C620" s="18"/>
      <c r="D620" s="18"/>
      <c r="F620" s="7"/>
      <c r="G620" s="49"/>
      <c r="H620"/>
      <c r="I620"/>
      <c r="L620" s="10"/>
    </row>
    <row r="621" spans="1:12" s="8" customFormat="1">
      <c r="A621" s="9"/>
      <c r="B621" s="19"/>
      <c r="C621" s="18"/>
      <c r="D621" s="18"/>
      <c r="F621" s="7"/>
      <c r="G621" s="49"/>
      <c r="H621"/>
      <c r="I621"/>
      <c r="L621" s="10"/>
    </row>
    <row r="622" spans="1:12" s="8" customFormat="1">
      <c r="A622" s="9"/>
      <c r="B622" s="19"/>
      <c r="C622" s="18"/>
      <c r="D622" s="18"/>
      <c r="F622" s="7"/>
      <c r="G622" s="49"/>
      <c r="H622"/>
      <c r="I622"/>
      <c r="L622" s="10"/>
    </row>
    <row r="623" spans="1:12" s="8" customFormat="1">
      <c r="A623" s="9"/>
      <c r="B623" s="19"/>
      <c r="C623" s="18"/>
      <c r="D623" s="18"/>
      <c r="F623" s="7"/>
      <c r="G623" s="49"/>
      <c r="H623"/>
      <c r="I623"/>
      <c r="L623" s="10"/>
    </row>
    <row r="624" spans="1:12" s="8" customFormat="1">
      <c r="A624" s="9"/>
      <c r="B624" s="19"/>
      <c r="C624" s="18"/>
      <c r="D624" s="18"/>
      <c r="F624" s="7"/>
      <c r="G624" s="49"/>
      <c r="H624"/>
      <c r="I624"/>
      <c r="L624" s="10"/>
    </row>
    <row r="625" spans="1:12" s="8" customFormat="1">
      <c r="A625" s="9"/>
      <c r="B625" s="19"/>
      <c r="C625" s="18"/>
      <c r="D625" s="18"/>
      <c r="F625" s="7"/>
      <c r="G625" s="49"/>
      <c r="H625"/>
      <c r="I625"/>
      <c r="L625" s="10"/>
    </row>
    <row r="626" spans="1:12" s="8" customFormat="1">
      <c r="A626" s="9"/>
      <c r="B626" s="19"/>
      <c r="C626" s="18"/>
      <c r="D626" s="18"/>
      <c r="F626" s="7"/>
      <c r="G626" s="49"/>
      <c r="H626"/>
      <c r="I626"/>
      <c r="L626" s="10"/>
    </row>
    <row r="627" spans="1:12" s="8" customFormat="1">
      <c r="A627" s="9"/>
      <c r="B627" s="19"/>
      <c r="C627" s="18"/>
      <c r="D627" s="18"/>
      <c r="F627" s="7"/>
      <c r="G627" s="49"/>
      <c r="H627"/>
      <c r="I627"/>
      <c r="L627" s="10"/>
    </row>
    <row r="628" spans="1:12" s="8" customFormat="1">
      <c r="A628" s="9"/>
      <c r="B628" s="19"/>
      <c r="C628" s="18"/>
      <c r="D628" s="18"/>
      <c r="F628" s="7"/>
      <c r="G628" s="49"/>
      <c r="H628"/>
      <c r="I628"/>
      <c r="L628" s="10"/>
    </row>
    <row r="629" spans="1:12" s="8" customFormat="1">
      <c r="A629" s="9"/>
      <c r="B629" s="19"/>
      <c r="C629" s="18"/>
      <c r="D629" s="18"/>
      <c r="F629" s="7"/>
      <c r="G629" s="49"/>
      <c r="H629"/>
      <c r="I629"/>
      <c r="L629" s="10"/>
    </row>
    <row r="630" spans="1:12" s="8" customFormat="1">
      <c r="A630" s="9"/>
      <c r="B630" s="19"/>
      <c r="C630" s="18"/>
      <c r="D630" s="18"/>
      <c r="F630" s="7"/>
      <c r="G630" s="49"/>
      <c r="H630"/>
      <c r="I630"/>
      <c r="L630" s="10"/>
    </row>
    <row r="631" spans="1:12" s="8" customFormat="1">
      <c r="A631" s="9"/>
      <c r="B631" s="19"/>
      <c r="C631" s="18"/>
      <c r="D631" s="18"/>
      <c r="F631" s="7"/>
      <c r="G631" s="49"/>
      <c r="H631"/>
      <c r="I631"/>
      <c r="L631" s="10"/>
    </row>
    <row r="632" spans="1:12" s="8" customFormat="1">
      <c r="A632" s="9"/>
      <c r="B632" s="19"/>
      <c r="C632" s="18"/>
      <c r="D632" s="18"/>
      <c r="F632" s="7"/>
      <c r="G632" s="49"/>
      <c r="H632"/>
      <c r="I632"/>
      <c r="L632" s="10"/>
    </row>
    <row r="633" spans="1:12" s="8" customFormat="1">
      <c r="A633" s="9"/>
      <c r="B633" s="19"/>
      <c r="C633" s="18"/>
      <c r="D633" s="18"/>
      <c r="F633" s="7"/>
      <c r="G633" s="49"/>
      <c r="H633"/>
      <c r="I633"/>
      <c r="L633" s="10"/>
    </row>
    <row r="634" spans="1:12" s="8" customFormat="1">
      <c r="A634" s="9"/>
      <c r="B634" s="19"/>
      <c r="C634" s="18"/>
      <c r="D634" s="18"/>
      <c r="F634" s="7"/>
      <c r="G634" s="49"/>
      <c r="H634"/>
      <c r="I634"/>
      <c r="L634" s="10"/>
    </row>
    <row r="635" spans="1:12" s="8" customFormat="1">
      <c r="A635" s="9"/>
      <c r="B635" s="19"/>
      <c r="C635" s="18"/>
      <c r="D635" s="18"/>
      <c r="F635" s="7"/>
      <c r="G635" s="49"/>
      <c r="H635"/>
      <c r="I635"/>
      <c r="L635" s="10"/>
    </row>
    <row r="636" spans="1:12" s="8" customFormat="1">
      <c r="A636" s="9"/>
      <c r="B636" s="19"/>
      <c r="C636" s="18"/>
      <c r="D636" s="18"/>
      <c r="F636" s="7"/>
      <c r="G636" s="49"/>
      <c r="H636"/>
      <c r="I636"/>
      <c r="L636" s="10"/>
    </row>
    <row r="637" spans="1:12" s="8" customFormat="1">
      <c r="A637" s="9"/>
      <c r="B637" s="19"/>
      <c r="C637" s="18"/>
      <c r="D637" s="18"/>
      <c r="F637" s="7"/>
      <c r="G637" s="49"/>
      <c r="H637"/>
      <c r="I637"/>
      <c r="L637" s="10"/>
    </row>
    <row r="638" spans="1:12" s="8" customFormat="1">
      <c r="A638" s="9"/>
      <c r="B638" s="19"/>
      <c r="C638" s="18"/>
      <c r="D638" s="18"/>
      <c r="F638" s="7"/>
      <c r="G638" s="49"/>
      <c r="H638"/>
      <c r="I638"/>
      <c r="L638" s="10"/>
    </row>
    <row r="639" spans="1:12" s="8" customFormat="1">
      <c r="A639" s="9"/>
      <c r="B639" s="19"/>
      <c r="C639" s="18"/>
      <c r="D639" s="18"/>
      <c r="F639" s="7"/>
      <c r="G639" s="49"/>
      <c r="H639"/>
      <c r="I639"/>
      <c r="L639" s="10"/>
    </row>
    <row r="640" spans="1:12" s="8" customFormat="1">
      <c r="A640" s="9"/>
      <c r="B640" s="19"/>
      <c r="C640" s="18"/>
      <c r="D640" s="18"/>
      <c r="F640" s="7"/>
      <c r="G640" s="49"/>
      <c r="H640"/>
      <c r="I640"/>
      <c r="L640" s="10"/>
    </row>
    <row r="641" spans="1:12" s="8" customFormat="1">
      <c r="A641" s="9"/>
      <c r="B641" s="19"/>
      <c r="C641" s="18"/>
      <c r="D641" s="18"/>
      <c r="F641" s="7"/>
      <c r="G641" s="49"/>
      <c r="H641"/>
      <c r="I641"/>
      <c r="L641" s="10"/>
    </row>
    <row r="642" spans="1:12" s="8" customFormat="1">
      <c r="A642" s="9"/>
      <c r="B642" s="19"/>
      <c r="C642" s="18"/>
      <c r="D642" s="18"/>
      <c r="F642" s="7"/>
      <c r="G642" s="49"/>
      <c r="H642"/>
      <c r="I642"/>
      <c r="L642" s="10"/>
    </row>
    <row r="643" spans="1:12" s="8" customFormat="1">
      <c r="A643" s="9"/>
      <c r="B643" s="19"/>
      <c r="C643" s="18"/>
      <c r="D643" s="18"/>
      <c r="F643" s="7"/>
      <c r="G643" s="49"/>
      <c r="H643"/>
      <c r="I643"/>
      <c r="L643" s="10"/>
    </row>
    <row r="644" spans="1:12" s="8" customFormat="1">
      <c r="A644" s="9"/>
      <c r="B644" s="19"/>
      <c r="C644" s="18"/>
      <c r="D644" s="18"/>
      <c r="F644" s="7"/>
      <c r="G644" s="49"/>
      <c r="H644"/>
      <c r="I644"/>
      <c r="L644" s="10"/>
    </row>
    <row r="645" spans="1:12" s="8" customFormat="1">
      <c r="A645" s="9"/>
      <c r="B645" s="19"/>
      <c r="C645" s="18"/>
      <c r="D645" s="18"/>
      <c r="F645" s="7"/>
      <c r="G645" s="49"/>
      <c r="H645"/>
      <c r="I645"/>
      <c r="L645" s="10"/>
    </row>
    <row r="646" spans="1:12" s="8" customFormat="1">
      <c r="A646" s="9"/>
      <c r="B646" s="19"/>
      <c r="C646" s="18"/>
      <c r="D646" s="18"/>
      <c r="F646" s="7"/>
      <c r="G646" s="49"/>
      <c r="H646"/>
      <c r="I646"/>
      <c r="L646" s="10"/>
    </row>
    <row r="647" spans="1:12" s="8" customFormat="1">
      <c r="A647" s="9"/>
      <c r="B647" s="19"/>
      <c r="C647" s="18"/>
      <c r="D647" s="18"/>
      <c r="F647" s="7"/>
      <c r="G647" s="49"/>
      <c r="H647"/>
      <c r="I647"/>
      <c r="L647" s="10"/>
    </row>
    <row r="648" spans="1:12" s="8" customFormat="1">
      <c r="A648" s="9"/>
      <c r="B648" s="19"/>
      <c r="C648" s="18"/>
      <c r="D648" s="18"/>
      <c r="F648" s="7"/>
      <c r="G648" s="49"/>
      <c r="H648"/>
      <c r="I648"/>
      <c r="L648" s="10"/>
    </row>
    <row r="649" spans="1:12" s="8" customFormat="1">
      <c r="A649" s="9"/>
      <c r="B649" s="19"/>
      <c r="C649" s="18"/>
      <c r="D649" s="18"/>
      <c r="F649" s="7"/>
      <c r="G649" s="49"/>
      <c r="H649"/>
      <c r="I649"/>
      <c r="L649" s="10"/>
    </row>
    <row r="650" spans="1:12" s="8" customFormat="1">
      <c r="A650" s="9"/>
      <c r="B650" s="19"/>
      <c r="C650" s="18"/>
      <c r="D650" s="18"/>
      <c r="F650" s="7"/>
      <c r="G650" s="49"/>
      <c r="H650"/>
      <c r="I650"/>
      <c r="L650" s="10"/>
    </row>
    <row r="651" spans="1:12" s="8" customFormat="1">
      <c r="A651" s="9"/>
      <c r="B651" s="19"/>
      <c r="C651" s="18"/>
      <c r="D651" s="18"/>
      <c r="F651" s="7"/>
      <c r="G651" s="49"/>
      <c r="H651"/>
      <c r="I651"/>
      <c r="L651" s="10"/>
    </row>
    <row r="652" spans="1:12" s="8" customFormat="1">
      <c r="A652" s="9"/>
      <c r="B652" s="19"/>
      <c r="C652" s="18"/>
      <c r="D652" s="18"/>
      <c r="F652" s="7"/>
      <c r="G652" s="49"/>
      <c r="H652"/>
      <c r="I652"/>
      <c r="L652" s="10"/>
    </row>
    <row r="653" spans="1:12" s="8" customFormat="1">
      <c r="A653" s="9"/>
      <c r="B653" s="19"/>
      <c r="C653" s="18"/>
      <c r="D653" s="18"/>
      <c r="F653" s="7"/>
      <c r="G653" s="49"/>
      <c r="H653"/>
      <c r="I653"/>
      <c r="L653" s="10"/>
    </row>
    <row r="654" spans="1:12" s="8" customFormat="1">
      <c r="A654" s="9"/>
      <c r="B654" s="19"/>
      <c r="C654" s="18"/>
      <c r="D654" s="18"/>
      <c r="F654" s="7"/>
      <c r="G654" s="49"/>
      <c r="H654"/>
      <c r="I654"/>
      <c r="L654" s="10"/>
    </row>
    <row r="655" spans="1:12" s="8" customFormat="1">
      <c r="A655" s="9"/>
      <c r="B655" s="19"/>
      <c r="C655" s="18"/>
      <c r="D655" s="18"/>
      <c r="F655" s="7"/>
      <c r="G655" s="49"/>
      <c r="H655"/>
      <c r="I655"/>
      <c r="L655" s="10"/>
    </row>
    <row r="656" spans="1:12" s="8" customFormat="1">
      <c r="A656" s="9"/>
      <c r="B656" s="19"/>
      <c r="C656" s="18"/>
      <c r="D656" s="18"/>
      <c r="F656" s="7"/>
      <c r="G656" s="49"/>
      <c r="H656"/>
      <c r="I656"/>
      <c r="L656" s="10"/>
    </row>
    <row r="657" spans="1:12" s="8" customFormat="1">
      <c r="A657" s="9"/>
      <c r="B657" s="19"/>
      <c r="C657" s="18"/>
      <c r="D657" s="18"/>
      <c r="F657" s="7"/>
      <c r="G657" s="49"/>
      <c r="H657"/>
      <c r="I657"/>
      <c r="L657" s="10"/>
    </row>
    <row r="658" spans="1:12" s="8" customFormat="1">
      <c r="A658" s="9"/>
      <c r="B658" s="19"/>
      <c r="C658" s="18"/>
      <c r="D658" s="18"/>
      <c r="F658" s="7"/>
      <c r="G658" s="49"/>
      <c r="H658"/>
      <c r="I658"/>
      <c r="L658" s="10"/>
    </row>
    <row r="659" spans="1:12" s="8" customFormat="1">
      <c r="A659" s="9"/>
      <c r="B659" s="19"/>
      <c r="C659" s="18"/>
      <c r="D659" s="18"/>
      <c r="F659" s="7"/>
      <c r="G659" s="49"/>
      <c r="H659"/>
      <c r="I659"/>
      <c r="L659" s="10"/>
    </row>
    <row r="660" spans="1:12" s="8" customFormat="1">
      <c r="A660" s="9"/>
      <c r="B660" s="19"/>
      <c r="C660" s="18"/>
      <c r="D660" s="18"/>
      <c r="F660" s="7"/>
      <c r="G660" s="49"/>
      <c r="H660"/>
      <c r="I660"/>
      <c r="L660" s="10"/>
    </row>
    <row r="661" spans="1:12" s="8" customFormat="1">
      <c r="A661" s="9"/>
      <c r="B661" s="19"/>
      <c r="C661" s="18"/>
      <c r="D661" s="18"/>
      <c r="F661" s="7"/>
      <c r="G661" s="49"/>
      <c r="H661"/>
      <c r="I661"/>
      <c r="L661" s="10"/>
    </row>
    <row r="662" spans="1:12" s="8" customFormat="1">
      <c r="A662" s="9"/>
      <c r="B662" s="19"/>
      <c r="C662" s="18"/>
      <c r="D662" s="18"/>
      <c r="F662" s="7"/>
      <c r="G662" s="49"/>
      <c r="H662"/>
      <c r="I662"/>
      <c r="L662" s="10"/>
    </row>
    <row r="663" spans="1:12" s="8" customFormat="1">
      <c r="A663" s="9"/>
      <c r="B663" s="19"/>
      <c r="C663" s="18"/>
      <c r="D663" s="18"/>
      <c r="F663" s="7"/>
      <c r="G663" s="49"/>
      <c r="H663"/>
      <c r="I663"/>
      <c r="L663" s="10"/>
    </row>
    <row r="664" spans="1:12" s="8" customFormat="1">
      <c r="A664" s="9"/>
      <c r="B664" s="19"/>
      <c r="C664" s="18"/>
      <c r="D664" s="18"/>
      <c r="F664" s="7"/>
      <c r="G664" s="49"/>
      <c r="H664"/>
      <c r="I664"/>
      <c r="L664" s="10"/>
    </row>
    <row r="665" spans="1:12" s="8" customFormat="1">
      <c r="A665" s="9"/>
      <c r="B665" s="19"/>
      <c r="C665" s="18"/>
      <c r="D665" s="18"/>
      <c r="F665" s="7"/>
      <c r="G665" s="49"/>
      <c r="H665"/>
      <c r="I665"/>
      <c r="L665" s="10"/>
    </row>
    <row r="666" spans="1:12" s="8" customFormat="1">
      <c r="A666" s="9"/>
      <c r="B666" s="19"/>
      <c r="C666" s="18"/>
      <c r="D666" s="18"/>
      <c r="F666" s="7"/>
      <c r="G666" s="49"/>
      <c r="H666"/>
      <c r="I666"/>
      <c r="L666" s="10"/>
    </row>
    <row r="667" spans="1:12" s="8" customFormat="1">
      <c r="A667" s="9"/>
      <c r="B667" s="19"/>
      <c r="C667" s="18"/>
      <c r="D667" s="18"/>
      <c r="F667" s="7"/>
      <c r="G667" s="49"/>
      <c r="H667"/>
      <c r="I667"/>
      <c r="L667" s="10"/>
    </row>
    <row r="668" spans="1:12" s="8" customFormat="1">
      <c r="A668" s="9"/>
      <c r="B668" s="19"/>
      <c r="C668" s="18"/>
      <c r="D668" s="18"/>
      <c r="F668" s="7"/>
      <c r="G668" s="49"/>
      <c r="H668"/>
      <c r="I668"/>
      <c r="L668" s="10"/>
    </row>
    <row r="669" spans="1:12" s="8" customFormat="1">
      <c r="A669" s="9"/>
      <c r="B669" s="19"/>
      <c r="C669" s="18"/>
      <c r="D669" s="18"/>
      <c r="F669" s="7"/>
      <c r="G669" s="49"/>
      <c r="H669"/>
      <c r="I669"/>
      <c r="L669" s="10"/>
    </row>
    <row r="670" spans="1:12" s="8" customFormat="1">
      <c r="A670" s="9"/>
      <c r="B670" s="19"/>
      <c r="C670" s="18"/>
      <c r="D670" s="18"/>
      <c r="F670" s="7"/>
      <c r="G670" s="49"/>
      <c r="H670"/>
      <c r="I670"/>
      <c r="L670" s="10"/>
    </row>
    <row r="671" spans="1:12" s="8" customFormat="1">
      <c r="A671" s="9"/>
      <c r="B671" s="19"/>
      <c r="C671" s="18"/>
      <c r="D671" s="18"/>
      <c r="F671" s="7"/>
      <c r="G671" s="49"/>
      <c r="H671"/>
      <c r="I671"/>
      <c r="L671" s="10"/>
    </row>
    <row r="672" spans="1:12" s="8" customFormat="1">
      <c r="A672" s="9"/>
      <c r="B672" s="19"/>
      <c r="C672" s="18"/>
      <c r="D672" s="18"/>
      <c r="F672" s="7"/>
      <c r="G672" s="49"/>
      <c r="H672"/>
      <c r="I672"/>
      <c r="L672" s="10"/>
    </row>
    <row r="673" spans="1:12" s="8" customFormat="1">
      <c r="A673" s="9"/>
      <c r="B673" s="19"/>
      <c r="C673" s="18"/>
      <c r="D673" s="18"/>
      <c r="F673" s="7"/>
      <c r="G673" s="49"/>
      <c r="H673"/>
      <c r="I673"/>
      <c r="L673" s="10"/>
    </row>
    <row r="674" spans="1:12" s="8" customFormat="1">
      <c r="A674" s="9"/>
      <c r="B674" s="19"/>
      <c r="C674" s="18"/>
      <c r="D674" s="18"/>
      <c r="F674" s="7"/>
      <c r="G674" s="49"/>
      <c r="H674"/>
      <c r="I674"/>
      <c r="L674" s="10"/>
    </row>
    <row r="675" spans="1:12" s="8" customFormat="1">
      <c r="A675" s="9"/>
      <c r="B675" s="19"/>
      <c r="C675" s="18"/>
      <c r="D675" s="18"/>
      <c r="F675" s="7"/>
      <c r="G675" s="49"/>
      <c r="H675"/>
      <c r="I675"/>
      <c r="L675" s="10"/>
    </row>
    <row r="676" spans="1:12" s="8" customFormat="1">
      <c r="A676" s="9"/>
      <c r="B676" s="19"/>
      <c r="C676" s="18"/>
      <c r="D676" s="18"/>
      <c r="F676" s="7"/>
      <c r="G676" s="49"/>
      <c r="H676"/>
      <c r="I676"/>
      <c r="L676" s="10"/>
    </row>
    <row r="677" spans="1:12" s="8" customFormat="1">
      <c r="A677" s="9"/>
      <c r="B677" s="19"/>
      <c r="C677" s="18"/>
      <c r="D677" s="18"/>
      <c r="F677" s="7"/>
      <c r="G677" s="49"/>
      <c r="H677"/>
      <c r="I677"/>
      <c r="L677" s="10"/>
    </row>
    <row r="678" spans="1:12" s="8" customFormat="1">
      <c r="A678" s="9"/>
      <c r="B678" s="19"/>
      <c r="C678" s="18"/>
      <c r="D678" s="18"/>
      <c r="F678" s="7"/>
      <c r="G678" s="49"/>
      <c r="H678"/>
      <c r="I678"/>
      <c r="L678" s="10"/>
    </row>
    <row r="679" spans="1:12" s="8" customFormat="1">
      <c r="A679" s="9"/>
      <c r="B679" s="19"/>
      <c r="C679" s="18"/>
      <c r="D679" s="18"/>
      <c r="F679" s="7"/>
      <c r="G679" s="49"/>
      <c r="H679"/>
      <c r="I679"/>
      <c r="L679" s="10"/>
    </row>
    <row r="680" spans="1:12" s="8" customFormat="1">
      <c r="A680" s="9"/>
      <c r="B680" s="19"/>
      <c r="C680" s="18"/>
      <c r="D680" s="18"/>
      <c r="F680" s="7"/>
      <c r="G680" s="49"/>
      <c r="H680"/>
      <c r="I680"/>
      <c r="L680" s="10"/>
    </row>
    <row r="681" spans="1:12" s="8" customFormat="1">
      <c r="A681" s="9"/>
      <c r="B681" s="19"/>
      <c r="C681" s="18"/>
      <c r="D681" s="18"/>
      <c r="F681" s="7"/>
      <c r="G681" s="49"/>
      <c r="H681"/>
      <c r="I681"/>
      <c r="L681" s="10"/>
    </row>
    <row r="682" spans="1:12" s="8" customFormat="1">
      <c r="A682" s="9"/>
      <c r="B682" s="19"/>
      <c r="C682" s="18"/>
      <c r="D682" s="18"/>
      <c r="F682" s="7"/>
      <c r="G682" s="49"/>
      <c r="H682"/>
      <c r="I682"/>
      <c r="L682" s="10"/>
    </row>
    <row r="683" spans="1:12" s="8" customFormat="1">
      <c r="A683" s="9"/>
      <c r="B683" s="19"/>
      <c r="C683" s="18"/>
      <c r="D683" s="18"/>
      <c r="F683" s="7"/>
      <c r="G683" s="49"/>
      <c r="H683"/>
      <c r="I683"/>
      <c r="L683" s="10"/>
    </row>
    <row r="684" spans="1:12" s="8" customFormat="1">
      <c r="A684" s="9"/>
      <c r="B684" s="19"/>
      <c r="C684" s="18"/>
      <c r="D684" s="18"/>
      <c r="F684" s="7"/>
      <c r="G684" s="49"/>
      <c r="H684"/>
      <c r="I684"/>
      <c r="L684" s="10"/>
    </row>
    <row r="685" spans="1:12" s="8" customFormat="1">
      <c r="A685" s="9"/>
      <c r="B685" s="19"/>
      <c r="C685" s="18"/>
      <c r="D685" s="18"/>
      <c r="F685" s="7"/>
      <c r="G685" s="49"/>
      <c r="H685"/>
      <c r="I685"/>
      <c r="L685" s="10"/>
    </row>
    <row r="686" spans="1:12" s="8" customFormat="1">
      <c r="A686" s="9"/>
      <c r="B686" s="19"/>
      <c r="C686" s="18"/>
      <c r="D686" s="18"/>
      <c r="F686" s="7"/>
      <c r="G686" s="49"/>
      <c r="H686"/>
      <c r="I686"/>
      <c r="L686" s="10"/>
    </row>
    <row r="687" spans="1:12" s="8" customFormat="1">
      <c r="A687" s="9"/>
      <c r="B687" s="19"/>
      <c r="C687" s="18"/>
      <c r="D687" s="18"/>
      <c r="F687" s="7"/>
      <c r="G687" s="49"/>
      <c r="H687"/>
      <c r="I687"/>
      <c r="L687" s="10"/>
    </row>
    <row r="688" spans="1:12" s="8" customFormat="1">
      <c r="A688" s="9"/>
      <c r="B688" s="19"/>
      <c r="C688" s="18"/>
      <c r="D688" s="18"/>
      <c r="F688" s="7"/>
      <c r="G688" s="49"/>
      <c r="H688"/>
      <c r="I688"/>
      <c r="L688" s="10"/>
    </row>
    <row r="689" spans="1:12" s="8" customFormat="1">
      <c r="A689" s="9"/>
      <c r="B689" s="19"/>
      <c r="C689" s="18"/>
      <c r="D689" s="18"/>
      <c r="F689" s="7"/>
      <c r="G689" s="49"/>
      <c r="H689"/>
      <c r="I689"/>
      <c r="L689" s="10"/>
    </row>
    <row r="690" spans="1:12" s="8" customFormat="1">
      <c r="A690" s="9"/>
      <c r="B690" s="19"/>
      <c r="C690" s="18"/>
      <c r="D690" s="18"/>
      <c r="F690" s="7"/>
      <c r="G690" s="49"/>
      <c r="H690"/>
      <c r="I690"/>
      <c r="L690" s="10"/>
    </row>
    <row r="691" spans="1:12" s="8" customFormat="1">
      <c r="A691" s="9"/>
      <c r="B691" s="19"/>
      <c r="C691" s="18"/>
      <c r="D691" s="18"/>
      <c r="F691" s="7"/>
      <c r="G691" s="49"/>
      <c r="H691"/>
      <c r="I691"/>
      <c r="L691" s="10"/>
    </row>
    <row r="692" spans="1:12" s="8" customFormat="1">
      <c r="A692" s="9"/>
      <c r="B692" s="19"/>
      <c r="C692" s="18"/>
      <c r="D692" s="18"/>
      <c r="F692" s="7"/>
      <c r="G692" s="49"/>
      <c r="H692"/>
      <c r="I692"/>
      <c r="L692" s="10"/>
    </row>
    <row r="693" spans="1:12" s="8" customFormat="1">
      <c r="A693" s="9"/>
      <c r="B693" s="19"/>
      <c r="C693" s="18"/>
      <c r="D693" s="18"/>
      <c r="F693" s="7"/>
      <c r="G693" s="49"/>
      <c r="H693"/>
      <c r="I693"/>
      <c r="L693" s="10"/>
    </row>
    <row r="694" spans="1:12" s="8" customFormat="1">
      <c r="A694" s="9"/>
      <c r="B694" s="19"/>
      <c r="C694" s="18"/>
      <c r="D694" s="18"/>
      <c r="F694" s="7"/>
      <c r="G694" s="49"/>
      <c r="H694"/>
      <c r="I694"/>
      <c r="L694" s="10"/>
    </row>
    <row r="695" spans="1:12" s="8" customFormat="1">
      <c r="A695" s="9"/>
      <c r="B695" s="19"/>
      <c r="C695" s="18"/>
      <c r="D695" s="18"/>
      <c r="F695" s="7"/>
      <c r="G695" s="49"/>
      <c r="H695"/>
      <c r="I695"/>
      <c r="L695" s="10"/>
    </row>
    <row r="696" spans="1:12" s="8" customFormat="1">
      <c r="A696" s="9"/>
      <c r="B696" s="19"/>
      <c r="C696" s="18"/>
      <c r="D696" s="18"/>
      <c r="F696" s="7"/>
      <c r="G696" s="49"/>
      <c r="H696"/>
      <c r="I696"/>
      <c r="L696" s="10"/>
    </row>
    <row r="697" spans="1:12" s="8" customFormat="1">
      <c r="A697" s="9"/>
      <c r="B697" s="19"/>
      <c r="C697" s="18"/>
      <c r="D697" s="18"/>
      <c r="F697" s="7"/>
      <c r="G697" s="49"/>
      <c r="H697"/>
      <c r="I697"/>
      <c r="L697" s="10"/>
    </row>
    <row r="698" spans="1:12" s="8" customFormat="1">
      <c r="A698" s="9"/>
      <c r="B698" s="19"/>
      <c r="C698" s="18"/>
      <c r="D698" s="18"/>
      <c r="F698" s="7"/>
      <c r="G698" s="49"/>
      <c r="H698"/>
      <c r="I698"/>
      <c r="L698" s="10"/>
    </row>
    <row r="699" spans="1:12" s="8" customFormat="1">
      <c r="A699" s="9"/>
      <c r="B699" s="19"/>
      <c r="C699" s="18"/>
      <c r="D699" s="18"/>
      <c r="F699" s="7"/>
      <c r="G699" s="49"/>
      <c r="H699"/>
      <c r="I699"/>
      <c r="L699" s="10"/>
    </row>
    <row r="700" spans="1:12" s="8" customFormat="1">
      <c r="A700" s="9"/>
      <c r="B700" s="19"/>
      <c r="C700" s="18"/>
      <c r="D700" s="18"/>
      <c r="F700" s="7"/>
      <c r="G700" s="49"/>
      <c r="H700"/>
      <c r="I700"/>
      <c r="L700" s="10"/>
    </row>
    <row r="701" spans="1:12" s="8" customFormat="1">
      <c r="A701" s="9"/>
      <c r="B701" s="19"/>
      <c r="C701" s="18"/>
      <c r="D701" s="18"/>
      <c r="F701" s="7"/>
      <c r="G701" s="49"/>
      <c r="H701"/>
      <c r="I701"/>
      <c r="L701" s="10"/>
    </row>
    <row r="702" spans="1:12" s="8" customFormat="1">
      <c r="A702" s="9"/>
      <c r="B702" s="19"/>
      <c r="C702" s="18"/>
      <c r="D702" s="18"/>
      <c r="F702" s="7"/>
      <c r="G702" s="49"/>
      <c r="H702"/>
      <c r="I702"/>
      <c r="L702" s="10"/>
    </row>
    <row r="703" spans="1:12" s="8" customFormat="1">
      <c r="A703" s="9"/>
      <c r="B703" s="19"/>
      <c r="C703" s="18"/>
      <c r="D703" s="18"/>
      <c r="F703" s="7"/>
      <c r="G703" s="49"/>
      <c r="H703"/>
      <c r="I703"/>
      <c r="L703" s="10"/>
    </row>
    <row r="704" spans="1:12" s="8" customFormat="1">
      <c r="A704" s="9"/>
      <c r="B704" s="19"/>
      <c r="C704" s="18"/>
      <c r="D704" s="18"/>
      <c r="F704" s="7"/>
      <c r="G704" s="49"/>
      <c r="H704"/>
      <c r="I704"/>
      <c r="L704" s="10"/>
    </row>
    <row r="705" spans="1:12" s="8" customFormat="1">
      <c r="A705" s="9"/>
      <c r="B705" s="19"/>
      <c r="C705" s="18"/>
      <c r="D705" s="18"/>
      <c r="F705" s="7"/>
      <c r="G705" s="49"/>
      <c r="H705"/>
      <c r="I705"/>
      <c r="L705" s="10"/>
    </row>
    <row r="706" spans="1:12" s="8" customFormat="1">
      <c r="A706" s="9"/>
      <c r="B706" s="19"/>
      <c r="C706" s="18"/>
      <c r="D706" s="18"/>
      <c r="F706" s="7"/>
      <c r="G706" s="49"/>
      <c r="H706"/>
      <c r="I706"/>
      <c r="L706" s="10"/>
    </row>
    <row r="707" spans="1:12" s="8" customFormat="1">
      <c r="A707" s="9"/>
      <c r="B707" s="19"/>
      <c r="C707" s="18"/>
      <c r="D707" s="18"/>
      <c r="F707" s="7"/>
      <c r="G707" s="49"/>
      <c r="H707"/>
      <c r="I707"/>
      <c r="L707" s="10"/>
    </row>
    <row r="708" spans="1:12" s="8" customFormat="1">
      <c r="A708" s="9"/>
      <c r="B708" s="19"/>
      <c r="C708" s="18"/>
      <c r="D708" s="18"/>
      <c r="F708" s="7"/>
      <c r="G708" s="49"/>
      <c r="H708"/>
      <c r="I708"/>
      <c r="L708" s="10"/>
    </row>
    <row r="709" spans="1:12" s="8" customFormat="1">
      <c r="A709" s="9"/>
      <c r="B709" s="19"/>
      <c r="C709" s="18"/>
      <c r="D709" s="18"/>
      <c r="F709" s="7"/>
      <c r="G709" s="49"/>
      <c r="H709"/>
      <c r="I709"/>
      <c r="L709" s="10"/>
    </row>
    <row r="710" spans="1:12" s="8" customFormat="1">
      <c r="A710" s="9"/>
      <c r="B710" s="19"/>
      <c r="C710" s="18"/>
      <c r="D710" s="18"/>
      <c r="F710" s="7"/>
      <c r="G710" s="49"/>
      <c r="H710"/>
      <c r="I710"/>
      <c r="L710" s="10"/>
    </row>
    <row r="711" spans="1:12" s="8" customFormat="1">
      <c r="A711" s="9"/>
      <c r="B711" s="19"/>
      <c r="C711" s="18"/>
      <c r="D711" s="18"/>
      <c r="F711" s="7"/>
      <c r="G711" s="49"/>
      <c r="H711"/>
      <c r="I711"/>
      <c r="L711" s="10"/>
    </row>
    <row r="712" spans="1:12" s="8" customFormat="1">
      <c r="A712" s="9"/>
      <c r="B712" s="19"/>
      <c r="C712" s="18"/>
      <c r="D712" s="18"/>
      <c r="F712" s="7"/>
      <c r="G712" s="49"/>
      <c r="H712"/>
      <c r="I712"/>
      <c r="L712" s="10"/>
    </row>
    <row r="713" spans="1:12" s="8" customFormat="1">
      <c r="A713" s="9"/>
      <c r="B713" s="19"/>
      <c r="C713" s="18"/>
      <c r="D713" s="18"/>
      <c r="F713" s="7"/>
      <c r="G713" s="49"/>
      <c r="H713"/>
      <c r="I713"/>
      <c r="L713" s="10"/>
    </row>
    <row r="714" spans="1:12" s="8" customFormat="1">
      <c r="A714" s="9"/>
      <c r="B714" s="19"/>
      <c r="C714" s="18"/>
      <c r="D714" s="18"/>
      <c r="F714" s="7"/>
      <c r="G714" s="49"/>
      <c r="H714"/>
      <c r="I714"/>
      <c r="L714" s="10"/>
    </row>
    <row r="715" spans="1:12" s="8" customFormat="1">
      <c r="A715" s="9"/>
      <c r="B715" s="19"/>
      <c r="C715" s="18"/>
      <c r="D715" s="18"/>
      <c r="F715" s="7"/>
      <c r="G715" s="49"/>
      <c r="H715"/>
      <c r="I715"/>
      <c r="L715" s="10"/>
    </row>
    <row r="716" spans="1:12" s="8" customFormat="1">
      <c r="A716" s="9"/>
      <c r="B716" s="19"/>
      <c r="C716" s="18"/>
      <c r="D716" s="18"/>
      <c r="F716" s="7"/>
      <c r="G716" s="49"/>
      <c r="H716"/>
      <c r="I716"/>
      <c r="L716" s="10"/>
    </row>
    <row r="717" spans="1:12" s="8" customFormat="1">
      <c r="A717" s="9"/>
      <c r="B717" s="19"/>
      <c r="C717" s="18"/>
      <c r="D717" s="18"/>
      <c r="F717" s="7"/>
      <c r="G717" s="49"/>
      <c r="H717"/>
      <c r="I717"/>
      <c r="L717" s="10"/>
    </row>
    <row r="718" spans="1:12" s="8" customFormat="1">
      <c r="A718" s="9"/>
      <c r="B718" s="19"/>
      <c r="C718" s="18"/>
      <c r="D718" s="18"/>
      <c r="F718" s="7"/>
      <c r="G718" s="49"/>
      <c r="H718"/>
      <c r="I718"/>
      <c r="L718" s="10"/>
    </row>
    <row r="719" spans="1:12" s="8" customFormat="1">
      <c r="A719" s="9"/>
      <c r="B719" s="19"/>
      <c r="C719" s="18"/>
      <c r="D719" s="18"/>
      <c r="F719" s="7"/>
      <c r="G719" s="49"/>
      <c r="H719"/>
      <c r="I719"/>
      <c r="L719" s="10"/>
    </row>
    <row r="720" spans="1:12" s="8" customFormat="1">
      <c r="A720" s="9"/>
      <c r="B720" s="19"/>
      <c r="C720" s="18"/>
      <c r="D720" s="18"/>
      <c r="F720" s="7"/>
      <c r="G720" s="49"/>
      <c r="H720"/>
      <c r="I720"/>
      <c r="L720" s="10"/>
    </row>
    <row r="721" spans="1:12" s="8" customFormat="1">
      <c r="A721" s="9"/>
      <c r="B721" s="19"/>
      <c r="C721" s="18"/>
      <c r="D721" s="18"/>
      <c r="F721" s="7"/>
      <c r="G721" s="49"/>
      <c r="H721"/>
      <c r="I721"/>
      <c r="L721" s="10"/>
    </row>
    <row r="722" spans="1:12" s="8" customFormat="1">
      <c r="A722" s="9"/>
      <c r="B722" s="19"/>
      <c r="C722" s="18"/>
      <c r="D722" s="18"/>
      <c r="F722" s="7"/>
      <c r="G722" s="49"/>
      <c r="H722"/>
      <c r="I722"/>
      <c r="L722" s="10"/>
    </row>
    <row r="723" spans="1:12" s="8" customFormat="1">
      <c r="A723" s="9"/>
      <c r="B723" s="19"/>
      <c r="C723" s="18"/>
      <c r="D723" s="18"/>
      <c r="F723" s="7"/>
      <c r="G723" s="49"/>
      <c r="H723"/>
      <c r="I723"/>
      <c r="L723" s="10"/>
    </row>
    <row r="724" spans="1:12" s="8" customFormat="1">
      <c r="A724" s="9"/>
      <c r="B724" s="19"/>
      <c r="C724" s="18"/>
      <c r="D724" s="18"/>
      <c r="F724" s="7"/>
      <c r="G724" s="49"/>
      <c r="H724"/>
      <c r="I724"/>
      <c r="L724" s="10"/>
    </row>
    <row r="725" spans="1:12" s="8" customFormat="1">
      <c r="A725" s="9"/>
      <c r="B725" s="19"/>
      <c r="C725" s="18"/>
      <c r="D725" s="18"/>
      <c r="F725" s="7"/>
      <c r="G725" s="49"/>
      <c r="H725"/>
      <c r="I725"/>
      <c r="L725" s="10"/>
    </row>
    <row r="726" spans="1:12" s="8" customFormat="1">
      <c r="A726" s="9"/>
      <c r="B726" s="19"/>
      <c r="C726" s="18"/>
      <c r="D726" s="18"/>
      <c r="F726" s="7"/>
      <c r="G726" s="49"/>
      <c r="H726"/>
      <c r="I726"/>
      <c r="L726" s="10"/>
    </row>
    <row r="727" spans="1:12" s="8" customFormat="1">
      <c r="A727" s="9"/>
      <c r="B727" s="19"/>
      <c r="C727" s="18"/>
      <c r="D727" s="18"/>
      <c r="F727" s="7"/>
      <c r="G727" s="49"/>
      <c r="H727"/>
      <c r="I727"/>
      <c r="L727" s="10"/>
    </row>
    <row r="728" spans="1:12" s="8" customFormat="1">
      <c r="A728" s="9"/>
      <c r="B728" s="19"/>
      <c r="C728" s="18"/>
      <c r="D728" s="18"/>
      <c r="F728" s="7"/>
      <c r="G728" s="49"/>
      <c r="H728"/>
      <c r="I728"/>
      <c r="L728" s="10"/>
    </row>
    <row r="729" spans="1:12" s="8" customFormat="1">
      <c r="A729" s="9"/>
      <c r="B729" s="19"/>
      <c r="C729" s="18"/>
      <c r="D729" s="18"/>
      <c r="F729" s="7"/>
      <c r="G729" s="49"/>
      <c r="H729"/>
      <c r="I729"/>
      <c r="L729" s="10"/>
    </row>
    <row r="730" spans="1:12" s="8" customFormat="1">
      <c r="A730" s="9"/>
      <c r="B730" s="19"/>
      <c r="C730" s="18"/>
      <c r="D730" s="18"/>
      <c r="F730" s="7"/>
      <c r="G730" s="49"/>
      <c r="H730"/>
      <c r="I730"/>
      <c r="L730" s="10"/>
    </row>
    <row r="731" spans="1:12" s="8" customFormat="1">
      <c r="A731" s="9"/>
      <c r="B731" s="19"/>
      <c r="C731" s="18"/>
      <c r="D731" s="18"/>
      <c r="F731" s="7"/>
      <c r="G731" s="49"/>
      <c r="H731"/>
      <c r="I731"/>
      <c r="L731" s="10"/>
    </row>
    <row r="732" spans="1:12" s="8" customFormat="1">
      <c r="A732" s="9"/>
      <c r="B732" s="19"/>
      <c r="C732" s="18"/>
      <c r="D732" s="18"/>
      <c r="F732" s="7"/>
      <c r="G732" s="49"/>
      <c r="H732"/>
      <c r="I732"/>
      <c r="L732" s="10"/>
    </row>
    <row r="733" spans="1:12" s="8" customFormat="1">
      <c r="A733" s="9"/>
      <c r="B733" s="19"/>
      <c r="C733" s="18"/>
      <c r="D733" s="18"/>
      <c r="F733" s="7"/>
      <c r="G733" s="49"/>
      <c r="H733"/>
      <c r="I733"/>
      <c r="L733" s="10"/>
    </row>
    <row r="734" spans="1:12" s="8" customFormat="1">
      <c r="A734" s="9"/>
      <c r="B734" s="19"/>
      <c r="C734" s="18"/>
      <c r="D734" s="18"/>
      <c r="F734" s="7"/>
      <c r="G734" s="49"/>
      <c r="H734"/>
      <c r="I734"/>
      <c r="L734" s="10"/>
    </row>
    <row r="735" spans="1:12" s="8" customFormat="1">
      <c r="A735" s="9"/>
      <c r="B735" s="19"/>
      <c r="C735" s="18"/>
      <c r="D735" s="18"/>
      <c r="F735" s="7"/>
      <c r="G735" s="49"/>
      <c r="H735"/>
      <c r="I735"/>
      <c r="L735" s="10"/>
    </row>
    <row r="736" spans="1:12" s="8" customFormat="1">
      <c r="A736" s="9"/>
      <c r="B736" s="19"/>
      <c r="C736" s="18"/>
      <c r="D736" s="18"/>
      <c r="F736" s="7"/>
      <c r="G736" s="49"/>
      <c r="H736"/>
      <c r="I736"/>
      <c r="L736" s="10"/>
    </row>
    <row r="737" spans="1:12" s="8" customFormat="1">
      <c r="A737" s="9"/>
      <c r="B737" s="19"/>
      <c r="C737" s="18"/>
      <c r="D737" s="18"/>
      <c r="F737" s="7"/>
      <c r="G737" s="49"/>
      <c r="H737"/>
      <c r="I737"/>
      <c r="L737" s="10"/>
    </row>
    <row r="738" spans="1:12" s="8" customFormat="1">
      <c r="A738" s="9"/>
      <c r="B738" s="19"/>
      <c r="C738" s="18"/>
      <c r="D738" s="18"/>
      <c r="F738" s="7"/>
      <c r="G738" s="49"/>
      <c r="H738"/>
      <c r="I738"/>
      <c r="L738" s="10"/>
    </row>
    <row r="739" spans="1:12" s="8" customFormat="1">
      <c r="A739" s="9"/>
      <c r="B739" s="19"/>
      <c r="C739" s="18"/>
      <c r="D739" s="18"/>
      <c r="F739" s="7"/>
      <c r="G739" s="49"/>
      <c r="H739"/>
      <c r="I739"/>
      <c r="L739" s="10"/>
    </row>
    <row r="740" spans="1:12" s="8" customFormat="1">
      <c r="A740" s="9"/>
      <c r="B740" s="19"/>
      <c r="C740" s="18"/>
      <c r="D740" s="18"/>
      <c r="F740" s="7"/>
      <c r="G740" s="49"/>
      <c r="H740"/>
      <c r="I740"/>
      <c r="L740" s="10"/>
    </row>
    <row r="741" spans="1:12" s="8" customFormat="1">
      <c r="A741" s="9"/>
      <c r="B741" s="19"/>
      <c r="C741" s="18"/>
      <c r="D741" s="18"/>
      <c r="F741" s="7"/>
      <c r="G741" s="49"/>
      <c r="H741"/>
      <c r="I741"/>
      <c r="L741" s="10"/>
    </row>
    <row r="742" spans="1:12" s="8" customFormat="1">
      <c r="A742" s="9"/>
      <c r="B742" s="19"/>
      <c r="C742" s="18"/>
      <c r="D742" s="18"/>
      <c r="F742" s="7"/>
      <c r="G742" s="49"/>
      <c r="H742"/>
      <c r="I742"/>
      <c r="L742" s="10"/>
    </row>
    <row r="743" spans="1:12" s="8" customFormat="1">
      <c r="A743" s="9"/>
      <c r="B743" s="19"/>
      <c r="C743" s="18"/>
      <c r="D743" s="18"/>
      <c r="F743" s="7"/>
      <c r="G743" s="49"/>
      <c r="H743"/>
      <c r="I743"/>
      <c r="L743" s="10"/>
    </row>
    <row r="744" spans="1:12" s="8" customFormat="1">
      <c r="A744" s="9"/>
      <c r="B744" s="19"/>
      <c r="C744" s="18"/>
      <c r="D744" s="18"/>
      <c r="F744" s="7"/>
      <c r="G744" s="49"/>
      <c r="H744"/>
      <c r="I744"/>
      <c r="L744" s="10"/>
    </row>
    <row r="745" spans="1:12" s="8" customFormat="1">
      <c r="A745" s="9"/>
      <c r="B745" s="19"/>
      <c r="C745" s="18"/>
      <c r="D745" s="18"/>
      <c r="F745" s="7"/>
      <c r="G745" s="49"/>
      <c r="H745"/>
      <c r="I745"/>
      <c r="L745" s="10"/>
    </row>
    <row r="746" spans="1:12" s="8" customFormat="1">
      <c r="A746" s="9"/>
      <c r="B746" s="19"/>
      <c r="C746" s="18"/>
      <c r="D746" s="18"/>
      <c r="F746" s="7"/>
      <c r="G746" s="49"/>
      <c r="H746"/>
      <c r="I746"/>
      <c r="L746" s="10"/>
    </row>
    <row r="747" spans="1:12" s="8" customFormat="1">
      <c r="A747" s="9"/>
      <c r="B747" s="19"/>
      <c r="C747" s="18"/>
      <c r="D747" s="18"/>
      <c r="F747" s="7"/>
      <c r="G747" s="49"/>
      <c r="H747"/>
      <c r="I747"/>
      <c r="L747" s="10"/>
    </row>
    <row r="748" spans="1:12" s="8" customFormat="1">
      <c r="A748" s="9"/>
      <c r="B748" s="19"/>
      <c r="C748" s="18"/>
      <c r="D748" s="18"/>
      <c r="F748" s="7"/>
      <c r="G748" s="49"/>
      <c r="H748"/>
      <c r="I748"/>
      <c r="L748" s="10"/>
    </row>
    <row r="749" spans="1:12" s="8" customFormat="1">
      <c r="A749" s="9"/>
      <c r="B749" s="19"/>
      <c r="C749" s="18"/>
      <c r="D749" s="18"/>
      <c r="F749" s="7"/>
      <c r="G749" s="49"/>
      <c r="H749"/>
      <c r="I749"/>
      <c r="L749" s="10"/>
    </row>
    <row r="750" spans="1:12" s="8" customFormat="1">
      <c r="A750" s="9"/>
      <c r="B750" s="19"/>
      <c r="C750" s="18"/>
      <c r="D750" s="18"/>
      <c r="F750" s="7"/>
      <c r="G750" s="49"/>
      <c r="H750"/>
      <c r="I750"/>
      <c r="L750" s="10"/>
    </row>
    <row r="751" spans="1:12" s="8" customFormat="1">
      <c r="A751" s="9"/>
      <c r="B751" s="19"/>
      <c r="C751" s="18"/>
      <c r="D751" s="18"/>
      <c r="F751" s="7"/>
      <c r="G751" s="49"/>
      <c r="H751"/>
      <c r="I751"/>
      <c r="L751" s="10"/>
    </row>
    <row r="752" spans="1:12" s="8" customFormat="1">
      <c r="A752" s="9"/>
      <c r="B752" s="19"/>
      <c r="C752" s="18"/>
      <c r="D752" s="18"/>
      <c r="F752" s="7"/>
      <c r="G752" s="49"/>
      <c r="H752"/>
      <c r="I752"/>
      <c r="L752" s="10"/>
    </row>
    <row r="753" spans="1:12" s="8" customFormat="1">
      <c r="A753" s="9"/>
      <c r="B753" s="19"/>
      <c r="C753" s="18"/>
      <c r="D753" s="18"/>
      <c r="F753" s="7"/>
      <c r="G753" s="49"/>
      <c r="H753"/>
      <c r="I753"/>
      <c r="L753" s="10"/>
    </row>
    <row r="754" spans="1:12" s="8" customFormat="1">
      <c r="A754" s="9"/>
      <c r="B754" s="19"/>
      <c r="C754" s="18"/>
      <c r="D754" s="18"/>
      <c r="F754" s="7"/>
      <c r="G754" s="49"/>
      <c r="H754"/>
      <c r="I754"/>
      <c r="L754" s="10"/>
    </row>
    <row r="755" spans="1:12" s="8" customFormat="1">
      <c r="A755" s="9"/>
      <c r="B755" s="19"/>
      <c r="C755" s="18"/>
      <c r="D755" s="18"/>
      <c r="F755" s="7"/>
      <c r="G755" s="49"/>
      <c r="H755"/>
      <c r="I755"/>
      <c r="L755" s="10"/>
    </row>
    <row r="756" spans="1:12" s="8" customFormat="1">
      <c r="A756" s="9"/>
      <c r="B756" s="19"/>
      <c r="C756" s="18"/>
      <c r="D756" s="18"/>
      <c r="F756" s="7"/>
      <c r="G756" s="49"/>
      <c r="H756"/>
      <c r="I756"/>
      <c r="L756" s="10"/>
    </row>
    <row r="757" spans="1:12" s="8" customFormat="1">
      <c r="A757" s="9"/>
      <c r="B757" s="19"/>
      <c r="C757" s="18"/>
      <c r="D757" s="18"/>
      <c r="F757" s="7"/>
      <c r="G757" s="49"/>
      <c r="H757"/>
      <c r="I757"/>
      <c r="L757" s="10"/>
    </row>
    <row r="758" spans="1:12" s="8" customFormat="1">
      <c r="A758" s="9"/>
      <c r="B758" s="19"/>
      <c r="C758" s="18"/>
      <c r="D758" s="18"/>
      <c r="F758" s="7"/>
      <c r="G758" s="49"/>
      <c r="H758"/>
      <c r="I758"/>
      <c r="L758" s="10"/>
    </row>
    <row r="759" spans="1:12" s="8" customFormat="1">
      <c r="A759" s="9"/>
      <c r="B759" s="19"/>
      <c r="C759" s="18"/>
      <c r="D759" s="18"/>
      <c r="F759" s="7"/>
      <c r="G759" s="49"/>
      <c r="H759"/>
      <c r="I759"/>
      <c r="L759" s="10"/>
    </row>
    <row r="760" spans="1:12" s="8" customFormat="1">
      <c r="A760" s="9"/>
      <c r="B760" s="19"/>
      <c r="C760" s="18"/>
      <c r="D760" s="18"/>
      <c r="F760" s="7"/>
      <c r="G760" s="49"/>
      <c r="H760"/>
      <c r="I760"/>
      <c r="L760" s="10"/>
    </row>
    <row r="761" spans="1:12" s="8" customFormat="1">
      <c r="A761" s="9"/>
      <c r="B761" s="19"/>
      <c r="C761" s="18"/>
      <c r="D761" s="18"/>
      <c r="F761" s="7"/>
      <c r="G761" s="49"/>
      <c r="H761"/>
      <c r="I761"/>
      <c r="L761" s="10"/>
    </row>
    <row r="762" spans="1:12" s="8" customFormat="1">
      <c r="A762" s="9"/>
      <c r="B762" s="19"/>
      <c r="C762" s="18"/>
      <c r="D762" s="18"/>
      <c r="F762" s="7"/>
      <c r="G762" s="49"/>
      <c r="H762"/>
      <c r="I762"/>
      <c r="L762" s="10"/>
    </row>
    <row r="763" spans="1:12" s="8" customFormat="1">
      <c r="A763" s="9"/>
      <c r="B763" s="19"/>
      <c r="C763" s="18"/>
      <c r="D763" s="18"/>
      <c r="F763" s="7"/>
      <c r="G763" s="49"/>
      <c r="H763"/>
      <c r="I763"/>
      <c r="L763" s="10"/>
    </row>
    <row r="764" spans="1:12" s="8" customFormat="1">
      <c r="A764" s="9"/>
      <c r="B764" s="19"/>
      <c r="C764" s="18"/>
      <c r="D764" s="18"/>
      <c r="F764" s="7"/>
      <c r="G764" s="49"/>
      <c r="H764"/>
      <c r="I764"/>
      <c r="L764" s="10"/>
    </row>
    <row r="765" spans="1:12" s="8" customFormat="1">
      <c r="A765" s="9"/>
      <c r="B765" s="19"/>
      <c r="C765" s="18"/>
      <c r="D765" s="18"/>
      <c r="F765" s="7"/>
      <c r="G765" s="49"/>
      <c r="H765"/>
      <c r="I765"/>
      <c r="L765" s="10"/>
    </row>
    <row r="766" spans="1:12" s="8" customFormat="1">
      <c r="A766" s="9"/>
      <c r="B766" s="19"/>
      <c r="C766" s="18"/>
      <c r="D766" s="18"/>
      <c r="F766" s="7"/>
      <c r="G766" s="49"/>
      <c r="H766"/>
      <c r="I766"/>
      <c r="L766" s="10"/>
    </row>
    <row r="767" spans="1:12" s="8" customFormat="1">
      <c r="A767" s="9"/>
      <c r="B767" s="19"/>
      <c r="C767" s="18"/>
      <c r="D767" s="18"/>
      <c r="F767" s="7"/>
      <c r="G767" s="49"/>
      <c r="H767"/>
      <c r="I767"/>
      <c r="L767" s="10"/>
    </row>
    <row r="768" spans="1:12" s="8" customFormat="1">
      <c r="A768" s="9"/>
      <c r="B768" s="19"/>
      <c r="C768" s="18"/>
      <c r="D768" s="18"/>
      <c r="F768" s="7"/>
      <c r="G768" s="49"/>
      <c r="H768"/>
      <c r="I768"/>
      <c r="L768" s="10"/>
    </row>
    <row r="769" spans="1:12" s="8" customFormat="1">
      <c r="A769" s="9"/>
      <c r="B769" s="19"/>
      <c r="C769" s="18"/>
      <c r="D769" s="18"/>
      <c r="F769" s="7"/>
      <c r="G769" s="49"/>
      <c r="H769"/>
      <c r="I769"/>
      <c r="L769" s="10"/>
    </row>
    <row r="770" spans="1:12" s="8" customFormat="1">
      <c r="A770" s="9"/>
      <c r="B770" s="19"/>
      <c r="C770" s="18"/>
      <c r="D770" s="18"/>
      <c r="F770" s="7"/>
      <c r="G770" s="49"/>
      <c r="H770"/>
      <c r="I770"/>
      <c r="L770" s="10"/>
    </row>
    <row r="771" spans="1:12" s="8" customFormat="1">
      <c r="A771" s="9"/>
      <c r="B771" s="19"/>
      <c r="C771" s="18"/>
      <c r="D771" s="18"/>
      <c r="F771" s="7"/>
      <c r="G771" s="49"/>
      <c r="H771"/>
      <c r="I771"/>
      <c r="L771" s="10"/>
    </row>
    <row r="772" spans="1:12" s="8" customFormat="1">
      <c r="A772" s="9"/>
      <c r="B772" s="19"/>
      <c r="C772" s="18"/>
      <c r="D772" s="18"/>
      <c r="F772" s="7"/>
      <c r="G772" s="49"/>
      <c r="H772"/>
      <c r="I772"/>
      <c r="L772" s="10"/>
    </row>
    <row r="773" spans="1:12" s="8" customFormat="1">
      <c r="A773" s="9"/>
      <c r="B773" s="19"/>
      <c r="C773" s="18"/>
      <c r="D773" s="18"/>
      <c r="F773" s="7"/>
      <c r="G773" s="49"/>
      <c r="H773"/>
      <c r="I773"/>
      <c r="L773" s="10"/>
    </row>
    <row r="774" spans="1:12" s="8" customFormat="1">
      <c r="A774" s="9"/>
      <c r="B774" s="19"/>
      <c r="C774" s="18"/>
      <c r="D774" s="18"/>
      <c r="F774" s="7"/>
      <c r="G774" s="49"/>
      <c r="H774"/>
      <c r="I774"/>
      <c r="L774" s="10"/>
    </row>
    <row r="775" spans="1:12" s="8" customFormat="1">
      <c r="A775" s="9"/>
      <c r="B775" s="19"/>
      <c r="C775" s="18"/>
      <c r="D775" s="18"/>
      <c r="F775" s="7"/>
      <c r="G775" s="49"/>
      <c r="H775"/>
      <c r="I775"/>
      <c r="L775" s="10"/>
    </row>
    <row r="776" spans="1:12" s="8" customFormat="1">
      <c r="A776" s="9"/>
      <c r="B776" s="19"/>
      <c r="C776" s="18"/>
      <c r="D776" s="18"/>
      <c r="F776" s="7"/>
      <c r="G776" s="49"/>
      <c r="H776"/>
      <c r="I776"/>
      <c r="L776" s="10"/>
    </row>
    <row r="777" spans="1:12" s="8" customFormat="1">
      <c r="A777" s="9"/>
      <c r="B777" s="19"/>
      <c r="C777" s="18"/>
      <c r="D777" s="18"/>
      <c r="F777" s="7"/>
      <c r="G777" s="49"/>
      <c r="H777"/>
      <c r="I777"/>
      <c r="L777" s="10"/>
    </row>
    <row r="778" spans="1:12" s="8" customFormat="1">
      <c r="A778" s="9"/>
      <c r="B778" s="19"/>
      <c r="C778" s="18"/>
      <c r="D778" s="18"/>
      <c r="F778" s="7"/>
      <c r="G778" s="49"/>
      <c r="H778"/>
      <c r="I778"/>
      <c r="L778" s="10"/>
    </row>
    <row r="779" spans="1:12" s="8" customFormat="1">
      <c r="A779" s="9"/>
      <c r="B779" s="19"/>
      <c r="C779" s="18"/>
      <c r="D779" s="18"/>
      <c r="F779" s="7"/>
      <c r="G779" s="49"/>
      <c r="H779"/>
      <c r="I779"/>
      <c r="L779" s="10"/>
    </row>
    <row r="780" spans="1:12" s="8" customFormat="1">
      <c r="A780" s="9"/>
      <c r="B780" s="19"/>
      <c r="C780" s="18"/>
      <c r="D780" s="18"/>
      <c r="F780" s="7"/>
      <c r="G780" s="49"/>
      <c r="H780"/>
      <c r="I780"/>
      <c r="L780" s="10"/>
    </row>
    <row r="781" spans="1:12" s="8" customFormat="1">
      <c r="A781" s="9"/>
      <c r="B781" s="19"/>
      <c r="C781" s="18"/>
      <c r="D781" s="18"/>
      <c r="F781" s="7"/>
      <c r="G781" s="49"/>
      <c r="H781"/>
      <c r="I781"/>
      <c r="L781" s="10"/>
    </row>
    <row r="782" spans="1:12" s="8" customFormat="1">
      <c r="A782" s="9"/>
      <c r="B782" s="19"/>
      <c r="C782" s="18"/>
      <c r="D782" s="18"/>
      <c r="F782" s="7"/>
      <c r="G782" s="49"/>
      <c r="H782"/>
      <c r="I782"/>
      <c r="L782" s="10"/>
    </row>
    <row r="783" spans="1:12" s="8" customFormat="1">
      <c r="A783" s="9"/>
      <c r="B783" s="19"/>
      <c r="C783" s="18"/>
      <c r="D783" s="18"/>
      <c r="F783" s="7"/>
      <c r="G783" s="49"/>
      <c r="H783"/>
      <c r="I783"/>
      <c r="L783" s="10"/>
    </row>
    <row r="784" spans="1:12" s="8" customFormat="1">
      <c r="A784" s="9"/>
      <c r="B784" s="19"/>
      <c r="C784" s="18"/>
      <c r="D784" s="18"/>
      <c r="F784" s="7"/>
      <c r="G784" s="49"/>
      <c r="H784"/>
      <c r="I784"/>
      <c r="L784" s="10"/>
    </row>
    <row r="785" spans="1:13" s="8" customFormat="1">
      <c r="A785" s="9"/>
      <c r="B785" s="19"/>
      <c r="C785" s="18"/>
      <c r="D785" s="18"/>
      <c r="F785" s="7"/>
      <c r="G785" s="49"/>
      <c r="H785"/>
      <c r="I785"/>
      <c r="L785" s="10"/>
    </row>
    <row r="786" spans="1:13" s="8" customFormat="1">
      <c r="A786" s="9"/>
      <c r="B786" s="19"/>
      <c r="C786" s="18"/>
      <c r="D786" s="18"/>
      <c r="F786" s="7"/>
      <c r="G786" s="49"/>
      <c r="H786"/>
      <c r="I786"/>
      <c r="L786" s="10"/>
    </row>
    <row r="787" spans="1:13" s="8" customFormat="1">
      <c r="A787" s="9"/>
      <c r="B787" s="19"/>
      <c r="C787" s="18"/>
      <c r="D787" s="18"/>
      <c r="F787" s="7"/>
      <c r="G787" s="49"/>
      <c r="H787"/>
      <c r="I787"/>
      <c r="L787" s="10"/>
    </row>
    <row r="788" spans="1:13" s="8" customFormat="1">
      <c r="A788" s="9"/>
      <c r="B788" s="19"/>
      <c r="C788" s="18"/>
      <c r="D788" s="18"/>
      <c r="F788" s="7"/>
      <c r="G788" s="49"/>
      <c r="H788"/>
      <c r="I788"/>
      <c r="J788" s="9"/>
      <c r="L788" s="10"/>
    </row>
    <row r="789" spans="1:13" s="8" customFormat="1">
      <c r="A789" s="9"/>
      <c r="B789" s="19"/>
      <c r="C789" s="18"/>
      <c r="D789" s="18"/>
      <c r="F789" s="7"/>
      <c r="G789" s="49"/>
      <c r="H789"/>
      <c r="I789"/>
      <c r="J789" s="9"/>
      <c r="L789" s="10"/>
    </row>
    <row r="790" spans="1:13" s="8" customFormat="1">
      <c r="A790" s="9"/>
      <c r="B790" s="19"/>
      <c r="C790" s="18"/>
      <c r="D790" s="18"/>
      <c r="F790" s="7"/>
      <c r="G790" s="49"/>
      <c r="H790"/>
      <c r="I790"/>
      <c r="J790" s="9"/>
      <c r="L790" s="10"/>
    </row>
    <row r="791" spans="1:13">
      <c r="E791" s="8"/>
      <c r="G791" s="49"/>
      <c r="K791" s="8"/>
      <c r="M791" s="8"/>
    </row>
    <row r="792" spans="1:13">
      <c r="E792" s="8"/>
      <c r="G792" s="49"/>
      <c r="K792" s="8"/>
      <c r="M792" s="8"/>
    </row>
    <row r="793" spans="1:13">
      <c r="E793" s="8"/>
      <c r="G793" s="49"/>
      <c r="K793" s="8"/>
      <c r="M793" s="8"/>
    </row>
    <row r="794" spans="1:13">
      <c r="E794" s="8"/>
      <c r="G794" s="49"/>
      <c r="K794" s="8"/>
      <c r="M794" s="8"/>
    </row>
    <row r="795" spans="1:13">
      <c r="E795" s="8"/>
      <c r="G795" s="49"/>
      <c r="K795" s="8"/>
    </row>
    <row r="796" spans="1:13">
      <c r="E796" s="8"/>
      <c r="G796" s="49"/>
    </row>
    <row r="797" spans="1:13">
      <c r="E797" s="8"/>
      <c r="G797" s="49"/>
    </row>
    <row r="798" spans="1:13">
      <c r="E798" s="8"/>
      <c r="G798" s="49"/>
    </row>
    <row r="799" spans="1:13">
      <c r="E799" s="8"/>
      <c r="G799" s="49"/>
    </row>
    <row r="800" spans="1:13">
      <c r="E800" s="8"/>
      <c r="G800" s="49"/>
    </row>
    <row r="801" spans="5:7">
      <c r="E801" s="8"/>
      <c r="G801" s="49"/>
    </row>
    <row r="802" spans="5:7">
      <c r="E802" s="8"/>
      <c r="G802" s="49"/>
    </row>
    <row r="803" spans="5:7">
      <c r="E803" s="8"/>
      <c r="G803" s="49"/>
    </row>
    <row r="804" spans="5:7">
      <c r="E804" s="8"/>
      <c r="G804" s="49"/>
    </row>
    <row r="805" spans="5:7">
      <c r="E805" s="8"/>
      <c r="G805" s="49"/>
    </row>
    <row r="806" spans="5:7">
      <c r="E806" s="8"/>
      <c r="G806" s="49"/>
    </row>
    <row r="807" spans="5:7">
      <c r="E807" s="8"/>
      <c r="G807" s="49"/>
    </row>
    <row r="808" spans="5:7">
      <c r="E808" s="8"/>
      <c r="G808" s="49"/>
    </row>
    <row r="809" spans="5:7">
      <c r="E809" s="8"/>
      <c r="G809" s="49"/>
    </row>
    <row r="810" spans="5:7">
      <c r="E810" s="8"/>
      <c r="G810" s="49"/>
    </row>
    <row r="811" spans="5:7">
      <c r="E811" s="8"/>
      <c r="G811" s="49"/>
    </row>
    <row r="812" spans="5:7">
      <c r="E812" s="8"/>
      <c r="G812" s="49"/>
    </row>
    <row r="813" spans="5:7">
      <c r="E813" s="8"/>
      <c r="G813" s="49"/>
    </row>
    <row r="814" spans="5:7">
      <c r="E814" s="8"/>
      <c r="G814" s="49"/>
    </row>
    <row r="815" spans="5:7">
      <c r="E815" s="8"/>
      <c r="G815" s="49"/>
    </row>
    <row r="816" spans="5:7">
      <c r="E816" s="8"/>
      <c r="G816" s="49"/>
    </row>
    <row r="817" spans="5:7">
      <c r="E817" s="8"/>
      <c r="G817" s="49"/>
    </row>
    <row r="818" spans="5:7">
      <c r="E818" s="8"/>
      <c r="G818" s="49"/>
    </row>
    <row r="819" spans="5:7">
      <c r="E819" s="8"/>
      <c r="G819" s="49"/>
    </row>
    <row r="820" spans="5:7">
      <c r="E820" s="8"/>
      <c r="G820" s="49"/>
    </row>
    <row r="821" spans="5:7">
      <c r="E821" s="8"/>
      <c r="G821" s="49"/>
    </row>
    <row r="822" spans="5:7">
      <c r="E822" s="8"/>
      <c r="G822" s="49"/>
    </row>
    <row r="823" spans="5:7">
      <c r="E823" s="8"/>
      <c r="G823" s="49"/>
    </row>
    <row r="824" spans="5:7">
      <c r="E824" s="8"/>
      <c r="G824" s="49"/>
    </row>
    <row r="825" spans="5:7">
      <c r="E825" s="8"/>
      <c r="G825" s="49"/>
    </row>
    <row r="826" spans="5:7">
      <c r="E826" s="8"/>
      <c r="G826" s="49"/>
    </row>
    <row r="827" spans="5:7">
      <c r="E827" s="8"/>
      <c r="G827" s="49"/>
    </row>
    <row r="828" spans="5:7">
      <c r="G828" s="49"/>
    </row>
    <row r="829" spans="5:7">
      <c r="G829" s="49"/>
    </row>
    <row r="830" spans="5:7">
      <c r="G830" s="49"/>
    </row>
    <row r="831" spans="5:7">
      <c r="G831" s="49"/>
    </row>
    <row r="832" spans="5:7">
      <c r="G832" s="49"/>
    </row>
    <row r="833" spans="7:7">
      <c r="G833" s="49"/>
    </row>
    <row r="834" spans="7:7">
      <c r="G834" s="49"/>
    </row>
    <row r="835" spans="7:7">
      <c r="G835" s="49"/>
    </row>
    <row r="836" spans="7:7">
      <c r="G836" s="49"/>
    </row>
    <row r="837" spans="7:7">
      <c r="G837" s="49"/>
    </row>
    <row r="838" spans="7:7">
      <c r="G838" s="49"/>
    </row>
    <row r="839" spans="7:7">
      <c r="G839" s="49"/>
    </row>
    <row r="840" spans="7:7">
      <c r="G840" s="49"/>
    </row>
    <row r="841" spans="7:7">
      <c r="G841" s="49"/>
    </row>
    <row r="842" spans="7:7">
      <c r="G842" s="49"/>
    </row>
    <row r="843" spans="7:7">
      <c r="G843" s="49"/>
    </row>
    <row r="844" spans="7:7">
      <c r="G844" s="49"/>
    </row>
    <row r="845" spans="7:7">
      <c r="G845" s="49"/>
    </row>
    <row r="846" spans="7:7">
      <c r="G846" s="49"/>
    </row>
    <row r="847" spans="7:7">
      <c r="G847" s="49"/>
    </row>
    <row r="848" spans="7:7">
      <c r="G848" s="49"/>
    </row>
    <row r="849" spans="7:7">
      <c r="G849" s="49"/>
    </row>
    <row r="850" spans="7:7">
      <c r="G850" s="49"/>
    </row>
    <row r="851" spans="7:7">
      <c r="G851" s="49"/>
    </row>
    <row r="852" spans="7:7">
      <c r="G852" s="49"/>
    </row>
    <row r="853" spans="7:7">
      <c r="G853" s="49"/>
    </row>
    <row r="854" spans="7:7">
      <c r="G854" s="49"/>
    </row>
    <row r="855" spans="7:7">
      <c r="G855" s="49"/>
    </row>
    <row r="856" spans="7:7">
      <c r="G856" s="49"/>
    </row>
    <row r="857" spans="7:7">
      <c r="G857" s="49"/>
    </row>
    <row r="858" spans="7:7">
      <c r="G858" s="49"/>
    </row>
    <row r="859" spans="7:7">
      <c r="G859" s="49"/>
    </row>
    <row r="860" spans="7:7">
      <c r="G860" s="49"/>
    </row>
    <row r="861" spans="7:7">
      <c r="G861" s="49"/>
    </row>
    <row r="862" spans="7:7">
      <c r="G862" s="49"/>
    </row>
    <row r="863" spans="7:7">
      <c r="G863" s="49"/>
    </row>
    <row r="864" spans="7:7">
      <c r="G864" s="49"/>
    </row>
    <row r="865" spans="7:7">
      <c r="G865" s="49"/>
    </row>
    <row r="866" spans="7:7">
      <c r="G866" s="49"/>
    </row>
    <row r="867" spans="7:7">
      <c r="G867" s="49"/>
    </row>
    <row r="868" spans="7:7">
      <c r="G868" s="49"/>
    </row>
    <row r="869" spans="7:7">
      <c r="G869" s="49"/>
    </row>
    <row r="870" spans="7:7">
      <c r="G870" s="49"/>
    </row>
    <row r="871" spans="7:7">
      <c r="G871" s="49"/>
    </row>
    <row r="872" spans="7:7">
      <c r="G872" s="49"/>
    </row>
    <row r="873" spans="7:7">
      <c r="G873" s="49"/>
    </row>
    <row r="874" spans="7:7">
      <c r="G874" s="49"/>
    </row>
    <row r="875" spans="7:7">
      <c r="G875" s="49"/>
    </row>
    <row r="876" spans="7:7">
      <c r="G876" s="49"/>
    </row>
    <row r="877" spans="7:7">
      <c r="G877" s="49"/>
    </row>
    <row r="878" spans="7:7">
      <c r="G878" s="49"/>
    </row>
    <row r="879" spans="7:7">
      <c r="G879" s="49"/>
    </row>
    <row r="880" spans="7:7">
      <c r="G880" s="49"/>
    </row>
    <row r="881" spans="7:7">
      <c r="G881" s="49"/>
    </row>
    <row r="882" spans="7:7">
      <c r="G882" s="49"/>
    </row>
    <row r="883" spans="7:7">
      <c r="G883" s="49"/>
    </row>
    <row r="884" spans="7:7">
      <c r="G884" s="49"/>
    </row>
    <row r="885" spans="7:7">
      <c r="G885" s="49"/>
    </row>
    <row r="886" spans="7:7">
      <c r="G886" s="49"/>
    </row>
    <row r="887" spans="7:7">
      <c r="G887" s="49"/>
    </row>
    <row r="888" spans="7:7">
      <c r="G888" s="49"/>
    </row>
    <row r="889" spans="7:7">
      <c r="G889" s="49"/>
    </row>
    <row r="890" spans="7:7">
      <c r="G890" s="49"/>
    </row>
    <row r="891" spans="7:7">
      <c r="G891" s="49"/>
    </row>
    <row r="892" spans="7:7">
      <c r="G892" s="49"/>
    </row>
    <row r="893" spans="7:7">
      <c r="G893" s="49"/>
    </row>
    <row r="894" spans="7:7">
      <c r="G894" s="49"/>
    </row>
    <row r="895" spans="7:7">
      <c r="G895" s="49"/>
    </row>
    <row r="896" spans="7:7">
      <c r="G896" s="49"/>
    </row>
    <row r="897" spans="7:7">
      <c r="G897" s="49"/>
    </row>
    <row r="898" spans="7:7">
      <c r="G898" s="49"/>
    </row>
    <row r="899" spans="7:7">
      <c r="G899" s="49"/>
    </row>
    <row r="900" spans="7:7">
      <c r="G900" s="49"/>
    </row>
    <row r="901" spans="7:7">
      <c r="G901" s="49"/>
    </row>
    <row r="902" spans="7:7">
      <c r="G902" s="49"/>
    </row>
    <row r="903" spans="7:7">
      <c r="G903" s="49"/>
    </row>
    <row r="904" spans="7:7">
      <c r="G904" s="49"/>
    </row>
    <row r="905" spans="7:7">
      <c r="G905" s="49"/>
    </row>
    <row r="906" spans="7:7">
      <c r="G906" s="49"/>
    </row>
    <row r="907" spans="7:7">
      <c r="G907" s="49"/>
    </row>
    <row r="908" spans="7:7">
      <c r="G908" s="49"/>
    </row>
    <row r="909" spans="7:7">
      <c r="G909" s="49"/>
    </row>
    <row r="910" spans="7:7">
      <c r="G910" s="49"/>
    </row>
    <row r="911" spans="7:7">
      <c r="G911" s="49"/>
    </row>
    <row r="912" spans="7:7">
      <c r="G912" s="49"/>
    </row>
    <row r="913" spans="7:7">
      <c r="G913" s="49"/>
    </row>
    <row r="914" spans="7:7">
      <c r="G914" s="49"/>
    </row>
    <row r="915" spans="7:7">
      <c r="G915" s="49"/>
    </row>
    <row r="916" spans="7:7">
      <c r="G916" s="49"/>
    </row>
    <row r="917" spans="7:7">
      <c r="G917" s="49"/>
    </row>
    <row r="918" spans="7:7">
      <c r="G918" s="49"/>
    </row>
    <row r="919" spans="7:7">
      <c r="G919" s="49"/>
    </row>
    <row r="920" spans="7:7">
      <c r="G920" s="49"/>
    </row>
    <row r="921" spans="7:7">
      <c r="G921" s="49"/>
    </row>
    <row r="922" spans="7:7">
      <c r="G922" s="49"/>
    </row>
    <row r="923" spans="7:7">
      <c r="G923" s="49"/>
    </row>
    <row r="924" spans="7:7">
      <c r="G924" s="49"/>
    </row>
    <row r="925" spans="7:7">
      <c r="G925" s="49"/>
    </row>
    <row r="926" spans="7:7">
      <c r="G926" s="49"/>
    </row>
    <row r="927" spans="7:7">
      <c r="G927" s="49"/>
    </row>
    <row r="928" spans="7:7">
      <c r="G928" s="49"/>
    </row>
    <row r="929" spans="7:7">
      <c r="G929" s="49"/>
    </row>
    <row r="930" spans="7:7">
      <c r="G930" s="49"/>
    </row>
    <row r="931" spans="7:7">
      <c r="G931" s="49"/>
    </row>
    <row r="932" spans="7:7">
      <c r="G932" s="49"/>
    </row>
    <row r="933" spans="7:7">
      <c r="G933" s="49"/>
    </row>
    <row r="934" spans="7:7">
      <c r="G934" s="49"/>
    </row>
    <row r="935" spans="7:7">
      <c r="G935" s="49"/>
    </row>
    <row r="936" spans="7:7">
      <c r="G936" s="49"/>
    </row>
    <row r="937" spans="7:7">
      <c r="G937" s="49"/>
    </row>
    <row r="938" spans="7:7">
      <c r="G938" s="49"/>
    </row>
    <row r="939" spans="7:7">
      <c r="G939" s="49"/>
    </row>
    <row r="940" spans="7:7">
      <c r="G940" s="49"/>
    </row>
    <row r="941" spans="7:7">
      <c r="G941" s="49"/>
    </row>
    <row r="942" spans="7:7">
      <c r="G942" s="49"/>
    </row>
    <row r="943" spans="7:7">
      <c r="G943" s="49"/>
    </row>
    <row r="944" spans="7:7">
      <c r="G944" s="49"/>
    </row>
    <row r="945" spans="7:7">
      <c r="G945" s="49"/>
    </row>
    <row r="946" spans="7:7">
      <c r="G946" s="49"/>
    </row>
    <row r="947" spans="7:7">
      <c r="G947" s="49"/>
    </row>
    <row r="948" spans="7:7">
      <c r="G948" s="49"/>
    </row>
    <row r="949" spans="7:7">
      <c r="G949" s="49"/>
    </row>
    <row r="950" spans="7:7">
      <c r="G950" s="49"/>
    </row>
    <row r="951" spans="7:7">
      <c r="G951" s="49"/>
    </row>
    <row r="952" spans="7:7">
      <c r="G952" s="49"/>
    </row>
    <row r="953" spans="7:7">
      <c r="G953" s="49"/>
    </row>
    <row r="954" spans="7:7">
      <c r="G954" s="49"/>
    </row>
    <row r="955" spans="7:7">
      <c r="G955" s="49"/>
    </row>
    <row r="956" spans="7:7">
      <c r="G956" s="49"/>
    </row>
    <row r="957" spans="7:7">
      <c r="G957" s="49"/>
    </row>
    <row r="958" spans="7:7">
      <c r="G958" s="49"/>
    </row>
    <row r="959" spans="7:7">
      <c r="G959" s="49"/>
    </row>
    <row r="960" spans="7:7">
      <c r="G960" s="49"/>
    </row>
    <row r="961" spans="7:7">
      <c r="G961" s="49"/>
    </row>
    <row r="962" spans="7:7">
      <c r="G962" s="49"/>
    </row>
    <row r="963" spans="7:7">
      <c r="G963" s="49"/>
    </row>
    <row r="964" spans="7:7">
      <c r="G964" s="49"/>
    </row>
    <row r="965" spans="7:7">
      <c r="G965" s="49"/>
    </row>
    <row r="966" spans="7:7">
      <c r="G966" s="49"/>
    </row>
    <row r="967" spans="7:7">
      <c r="G967" s="49"/>
    </row>
    <row r="968" spans="7:7">
      <c r="G968" s="49"/>
    </row>
    <row r="969" spans="7:7">
      <c r="G969" s="49"/>
    </row>
    <row r="970" spans="7:7">
      <c r="G970" s="49"/>
    </row>
    <row r="971" spans="7:7">
      <c r="G971" s="49"/>
    </row>
    <row r="972" spans="7:7">
      <c r="G972" s="49"/>
    </row>
    <row r="973" spans="7:7">
      <c r="G973" s="49"/>
    </row>
    <row r="974" spans="7:7">
      <c r="G974" s="49"/>
    </row>
    <row r="975" spans="7:7">
      <c r="G975" s="49"/>
    </row>
    <row r="976" spans="7:7">
      <c r="G976" s="49"/>
    </row>
    <row r="977" spans="7:7">
      <c r="G977" s="49"/>
    </row>
    <row r="978" spans="7:7">
      <c r="G978" s="49"/>
    </row>
    <row r="979" spans="7:7">
      <c r="G979" s="49"/>
    </row>
    <row r="980" spans="7:7">
      <c r="G980" s="49"/>
    </row>
    <row r="981" spans="7:7">
      <c r="G981" s="49"/>
    </row>
    <row r="982" spans="7:7">
      <c r="G982" s="49"/>
    </row>
    <row r="983" spans="7:7">
      <c r="G983" s="49"/>
    </row>
    <row r="984" spans="7:7">
      <c r="G984" s="49"/>
    </row>
    <row r="985" spans="7:7">
      <c r="G985" s="49"/>
    </row>
    <row r="986" spans="7:7">
      <c r="G986" s="49"/>
    </row>
    <row r="987" spans="7:7">
      <c r="G987" s="49"/>
    </row>
    <row r="988" spans="7:7">
      <c r="G988" s="49"/>
    </row>
    <row r="989" spans="7:7">
      <c r="G989" s="49"/>
    </row>
    <row r="990" spans="7:7">
      <c r="G990" s="49"/>
    </row>
    <row r="991" spans="7:7">
      <c r="G991" s="49"/>
    </row>
    <row r="992" spans="7:7">
      <c r="G992" s="49"/>
    </row>
    <row r="993" spans="7:7">
      <c r="G993" s="49"/>
    </row>
    <row r="994" spans="7:7">
      <c r="G994" s="49"/>
    </row>
    <row r="995" spans="7:7">
      <c r="G995" s="49"/>
    </row>
    <row r="996" spans="7:7">
      <c r="G996" s="49"/>
    </row>
    <row r="997" spans="7:7">
      <c r="G997" s="49"/>
    </row>
    <row r="998" spans="7:7">
      <c r="G998" s="49"/>
    </row>
    <row r="999" spans="7:7">
      <c r="G999" s="49"/>
    </row>
    <row r="1000" spans="7:7">
      <c r="G1000" s="49"/>
    </row>
    <row r="1001" spans="7:7">
      <c r="G1001" s="49"/>
    </row>
    <row r="1002" spans="7:7">
      <c r="G1002" s="49"/>
    </row>
    <row r="1003" spans="7:7">
      <c r="G1003" s="49"/>
    </row>
    <row r="1004" spans="7:7">
      <c r="G1004" s="49"/>
    </row>
    <row r="1005" spans="7:7">
      <c r="G1005" s="49"/>
    </row>
    <row r="1006" spans="7:7">
      <c r="G1006" s="49"/>
    </row>
    <row r="1007" spans="7:7">
      <c r="G1007" s="49"/>
    </row>
    <row r="1008" spans="7:7">
      <c r="G1008" s="49"/>
    </row>
    <row r="1009" spans="7:7">
      <c r="G1009" s="49"/>
    </row>
    <row r="1010" spans="7:7">
      <c r="G1010" s="49"/>
    </row>
    <row r="1011" spans="7:7">
      <c r="G1011" s="49"/>
    </row>
    <row r="1012" spans="7:7">
      <c r="G1012" s="49"/>
    </row>
    <row r="1013" spans="7:7">
      <c r="G1013" s="49"/>
    </row>
    <row r="1014" spans="7:7">
      <c r="G1014" s="49"/>
    </row>
    <row r="1015" spans="7:7">
      <c r="G1015" s="49"/>
    </row>
    <row r="1016" spans="7:7">
      <c r="G1016" s="49"/>
    </row>
    <row r="1017" spans="7:7">
      <c r="G1017" s="49"/>
    </row>
    <row r="1018" spans="7:7">
      <c r="G1018" s="49"/>
    </row>
    <row r="1019" spans="7:7">
      <c r="G1019" s="49"/>
    </row>
    <row r="1020" spans="7:7">
      <c r="G1020" s="49"/>
    </row>
    <row r="1021" spans="7:7">
      <c r="G1021" s="49"/>
    </row>
    <row r="1022" spans="7:7">
      <c r="G1022" s="49"/>
    </row>
    <row r="1023" spans="7:7">
      <c r="G1023" s="49"/>
    </row>
    <row r="1024" spans="7:7">
      <c r="G1024" s="49"/>
    </row>
    <row r="1025" spans="7:7">
      <c r="G1025" s="49"/>
    </row>
    <row r="1026" spans="7:7">
      <c r="G1026" s="49"/>
    </row>
    <row r="1027" spans="7:7">
      <c r="G1027" s="49"/>
    </row>
    <row r="1028" spans="7:7">
      <c r="G1028" s="49"/>
    </row>
    <row r="1029" spans="7:7">
      <c r="G1029" s="49"/>
    </row>
    <row r="1030" spans="7:7">
      <c r="G1030" s="49"/>
    </row>
    <row r="1031" spans="7:7">
      <c r="G1031" s="49"/>
    </row>
    <row r="1032" spans="7:7">
      <c r="G1032" s="49"/>
    </row>
    <row r="1033" spans="7:7">
      <c r="G1033" s="49"/>
    </row>
    <row r="1034" spans="7:7">
      <c r="G1034" s="49"/>
    </row>
    <row r="1035" spans="7:7">
      <c r="G1035" s="49"/>
    </row>
    <row r="1036" spans="7:7">
      <c r="G1036" s="49"/>
    </row>
    <row r="1037" spans="7:7">
      <c r="G1037" s="49"/>
    </row>
    <row r="1038" spans="7:7">
      <c r="G1038" s="49"/>
    </row>
    <row r="1039" spans="7:7">
      <c r="G1039" s="49"/>
    </row>
    <row r="1040" spans="7:7">
      <c r="G1040" s="49"/>
    </row>
    <row r="1041" spans="7:7">
      <c r="G1041" s="49"/>
    </row>
    <row r="1042" spans="7:7">
      <c r="G1042" s="49"/>
    </row>
    <row r="1043" spans="7:7">
      <c r="G1043" s="49"/>
    </row>
    <row r="1044" spans="7:7">
      <c r="G1044" s="49"/>
    </row>
    <row r="1045" spans="7:7">
      <c r="G1045" s="49"/>
    </row>
    <row r="1046" spans="7:7">
      <c r="G1046" s="49"/>
    </row>
    <row r="1047" spans="7:7">
      <c r="G1047" s="49"/>
    </row>
    <row r="1048" spans="7:7">
      <c r="G1048" s="49"/>
    </row>
    <row r="1049" spans="7:7">
      <c r="G1049" s="49"/>
    </row>
    <row r="1050" spans="7:7">
      <c r="G1050" s="49"/>
    </row>
    <row r="1051" spans="7:7">
      <c r="G1051" s="49"/>
    </row>
    <row r="1052" spans="7:7">
      <c r="G1052" s="49"/>
    </row>
    <row r="1053" spans="7:7">
      <c r="G1053" s="49"/>
    </row>
    <row r="1054" spans="7:7">
      <c r="G1054" s="49"/>
    </row>
    <row r="1055" spans="7:7">
      <c r="G1055" s="49"/>
    </row>
    <row r="1056" spans="7:7">
      <c r="G1056" s="55"/>
    </row>
    <row r="1057" spans="7:7">
      <c r="G1057" s="55"/>
    </row>
    <row r="1058" spans="7:7">
      <c r="G1058" s="49"/>
    </row>
    <row r="1059" spans="7:7">
      <c r="G1059" s="55"/>
    </row>
    <row r="1060" spans="7:7">
      <c r="G1060" s="55"/>
    </row>
    <row r="1061" spans="7:7">
      <c r="G1061" s="55"/>
    </row>
    <row r="1062" spans="7:7">
      <c r="G1062" s="55"/>
    </row>
    <row r="1063" spans="7:7">
      <c r="G1063" s="55"/>
    </row>
    <row r="1064" spans="7:7">
      <c r="G1064" s="55"/>
    </row>
    <row r="1065" spans="7:7">
      <c r="G1065" s="55"/>
    </row>
    <row r="1066" spans="7:7">
      <c r="G1066" s="55"/>
    </row>
    <row r="1067" spans="7:7">
      <c r="G1067" s="55"/>
    </row>
    <row r="1068" spans="7:7">
      <c r="G1068" s="55"/>
    </row>
    <row r="1069" spans="7:7">
      <c r="G1069" s="55"/>
    </row>
    <row r="1070" spans="7:7">
      <c r="G1070" s="55"/>
    </row>
    <row r="1071" spans="7:7">
      <c r="G1071" s="55"/>
    </row>
    <row r="1072" spans="7:7">
      <c r="G1072" s="55"/>
    </row>
    <row r="1073" spans="7:7">
      <c r="G1073" s="55"/>
    </row>
    <row r="1074" spans="7:7">
      <c r="G1074" s="55"/>
    </row>
    <row r="1075" spans="7:7">
      <c r="G1075" s="55"/>
    </row>
    <row r="1076" spans="7:7">
      <c r="G1076" s="55"/>
    </row>
    <row r="1077" spans="7:7">
      <c r="G1077" s="55"/>
    </row>
    <row r="1078" spans="7:7">
      <c r="G1078" s="55"/>
    </row>
    <row r="1079" spans="7:7">
      <c r="G1079" s="55"/>
    </row>
    <row r="1080" spans="7:7">
      <c r="G1080" s="55"/>
    </row>
    <row r="1081" spans="7:7">
      <c r="G1081" s="55"/>
    </row>
    <row r="1082" spans="7:7">
      <c r="G1082" s="55"/>
    </row>
    <row r="1083" spans="7:7">
      <c r="G1083" s="55"/>
    </row>
    <row r="1084" spans="7:7">
      <c r="G1084" s="55"/>
    </row>
    <row r="1085" spans="7:7">
      <c r="G1085" s="55"/>
    </row>
    <row r="1086" spans="7:7">
      <c r="G1086" s="55"/>
    </row>
    <row r="1087" spans="7:7">
      <c r="G1087" s="55"/>
    </row>
    <row r="1088" spans="7:7">
      <c r="G1088" s="55"/>
    </row>
    <row r="1089" spans="7:7">
      <c r="G1089" s="55"/>
    </row>
    <row r="1090" spans="7:7">
      <c r="G1090" s="55"/>
    </row>
    <row r="1091" spans="7:7">
      <c r="G1091" s="55"/>
    </row>
    <row r="1092" spans="7:7">
      <c r="G1092" s="55"/>
    </row>
    <row r="1093" spans="7:7">
      <c r="G1093" s="55"/>
    </row>
    <row r="1094" spans="7:7">
      <c r="G1094" s="55"/>
    </row>
    <row r="1095" spans="7:7">
      <c r="G1095" s="55"/>
    </row>
    <row r="1096" spans="7:7">
      <c r="G1096" s="55"/>
    </row>
    <row r="1097" spans="7:7">
      <c r="G1097" s="55"/>
    </row>
    <row r="1098" spans="7:7">
      <c r="G1098" s="55"/>
    </row>
    <row r="1099" spans="7:7">
      <c r="G1099" s="55"/>
    </row>
    <row r="1100" spans="7:7">
      <c r="G1100" s="55"/>
    </row>
    <row r="1101" spans="7:7">
      <c r="G1101" s="55"/>
    </row>
    <row r="1102" spans="7:7">
      <c r="G1102" s="55"/>
    </row>
    <row r="1103" spans="7:7">
      <c r="G1103" s="55"/>
    </row>
    <row r="1104" spans="7:7">
      <c r="G1104" s="55"/>
    </row>
    <row r="1105" spans="7:7">
      <c r="G1105" s="55"/>
    </row>
    <row r="1106" spans="7:7">
      <c r="G1106" s="55"/>
    </row>
    <row r="1107" spans="7:7">
      <c r="G1107" s="55"/>
    </row>
    <row r="1108" spans="7:7">
      <c r="G1108" s="55"/>
    </row>
    <row r="1109" spans="7:7">
      <c r="G1109" s="55"/>
    </row>
    <row r="1110" spans="7:7">
      <c r="G1110" s="55"/>
    </row>
    <row r="1111" spans="7:7">
      <c r="G1111" s="55"/>
    </row>
    <row r="1112" spans="7:7">
      <c r="G1112" s="55"/>
    </row>
    <row r="1113" spans="7:7">
      <c r="G1113" s="55"/>
    </row>
    <row r="1114" spans="7:7">
      <c r="G1114" s="55"/>
    </row>
    <row r="1115" spans="7:7">
      <c r="G1115" s="55"/>
    </row>
    <row r="1116" spans="7:7">
      <c r="G1116" s="55"/>
    </row>
    <row r="1117" spans="7:7">
      <c r="G1117" s="55"/>
    </row>
    <row r="1118" spans="7:7">
      <c r="G1118" s="55"/>
    </row>
    <row r="1119" spans="7:7">
      <c r="G1119" s="55"/>
    </row>
    <row r="1120" spans="7:7">
      <c r="G1120" s="55"/>
    </row>
    <row r="1121" spans="7:7">
      <c r="G1121" s="55"/>
    </row>
    <row r="1122" spans="7:7">
      <c r="G1122" s="55"/>
    </row>
    <row r="1123" spans="7:7">
      <c r="G1123" s="55"/>
    </row>
    <row r="1124" spans="7:7">
      <c r="G1124" s="55"/>
    </row>
    <row r="1125" spans="7:7">
      <c r="G1125" s="55"/>
    </row>
    <row r="1126" spans="7:7">
      <c r="G1126" s="55"/>
    </row>
    <row r="1127" spans="7:7">
      <c r="G1127" s="55"/>
    </row>
    <row r="1128" spans="7:7">
      <c r="G1128" s="55"/>
    </row>
    <row r="1129" spans="7:7">
      <c r="G1129" s="55"/>
    </row>
    <row r="1130" spans="7:7">
      <c r="G1130" s="55"/>
    </row>
    <row r="1131" spans="7:7">
      <c r="G1131" s="55"/>
    </row>
    <row r="1132" spans="7:7">
      <c r="G1132" s="55"/>
    </row>
    <row r="1133" spans="7:7">
      <c r="G1133" s="55"/>
    </row>
    <row r="1134" spans="7:7">
      <c r="G1134" s="55"/>
    </row>
    <row r="1135" spans="7:7">
      <c r="G1135" s="55"/>
    </row>
    <row r="1136" spans="7:7">
      <c r="G1136" s="55"/>
    </row>
    <row r="1137" spans="7:7">
      <c r="G1137" s="55"/>
    </row>
    <row r="1138" spans="7:7">
      <c r="G1138" s="55"/>
    </row>
    <row r="1139" spans="7:7">
      <c r="G1139" s="55"/>
    </row>
    <row r="1140" spans="7:7">
      <c r="G1140" s="55"/>
    </row>
    <row r="1141" spans="7:7">
      <c r="G1141" s="55"/>
    </row>
    <row r="1142" spans="7:7">
      <c r="G1142" s="55"/>
    </row>
    <row r="1143" spans="7:7">
      <c r="G1143" s="55"/>
    </row>
    <row r="1144" spans="7:7">
      <c r="G1144" s="55"/>
    </row>
    <row r="1145" spans="7:7">
      <c r="G1145" s="55"/>
    </row>
    <row r="1146" spans="7:7">
      <c r="G1146" s="55"/>
    </row>
    <row r="1147" spans="7:7">
      <c r="G1147" s="55"/>
    </row>
    <row r="1148" spans="7:7">
      <c r="G1148" s="55"/>
    </row>
    <row r="1149" spans="7:7">
      <c r="G1149" s="55"/>
    </row>
    <row r="1150" spans="7:7">
      <c r="G1150" s="55"/>
    </row>
    <row r="1151" spans="7:7">
      <c r="G1151" s="55"/>
    </row>
    <row r="1152" spans="7:7">
      <c r="G1152" s="55"/>
    </row>
    <row r="1153" spans="7:7">
      <c r="G1153" s="55"/>
    </row>
    <row r="1154" spans="7:7">
      <c r="G1154" s="55"/>
    </row>
    <row r="1155" spans="7:7">
      <c r="G1155" s="55"/>
    </row>
    <row r="1156" spans="7:7">
      <c r="G1156" s="55"/>
    </row>
    <row r="1157" spans="7:7">
      <c r="G1157" s="55"/>
    </row>
    <row r="1158" spans="7:7">
      <c r="G1158" s="55"/>
    </row>
    <row r="1159" spans="7:7">
      <c r="G1159" s="55"/>
    </row>
    <row r="1160" spans="7:7">
      <c r="G1160" s="55"/>
    </row>
    <row r="1161" spans="7:7">
      <c r="G1161" s="55"/>
    </row>
    <row r="1162" spans="7:7">
      <c r="G1162" s="55"/>
    </row>
    <row r="1163" spans="7:7">
      <c r="G1163" s="55"/>
    </row>
    <row r="1164" spans="7:7">
      <c r="G1164" s="55"/>
    </row>
    <row r="1165" spans="7:7">
      <c r="G1165" s="55"/>
    </row>
    <row r="1166" spans="7:7">
      <c r="G1166" s="55"/>
    </row>
    <row r="1167" spans="7:7">
      <c r="G1167" s="55"/>
    </row>
    <row r="1168" spans="7:7">
      <c r="G1168" s="55"/>
    </row>
    <row r="1169" spans="7:7">
      <c r="G1169" s="55"/>
    </row>
    <row r="1170" spans="7:7">
      <c r="G1170" s="55"/>
    </row>
    <row r="1171" spans="7:7">
      <c r="G1171" s="55"/>
    </row>
    <row r="1172" spans="7:7">
      <c r="G1172" s="55"/>
    </row>
    <row r="1173" spans="7:7">
      <c r="G1173" s="55"/>
    </row>
    <row r="1174" spans="7:7">
      <c r="G1174" s="55"/>
    </row>
    <row r="1175" spans="7:7">
      <c r="G1175" s="55"/>
    </row>
    <row r="1176" spans="7:7">
      <c r="G1176" s="55"/>
    </row>
    <row r="1177" spans="7:7">
      <c r="G1177" s="55"/>
    </row>
    <row r="1178" spans="7:7">
      <c r="G1178" s="55"/>
    </row>
    <row r="1179" spans="7:7">
      <c r="G1179" s="55"/>
    </row>
    <row r="1180" spans="7:7">
      <c r="G1180" s="55"/>
    </row>
    <row r="1181" spans="7:7">
      <c r="G1181" s="55"/>
    </row>
    <row r="1182" spans="7:7">
      <c r="G1182" s="55"/>
    </row>
    <row r="1183" spans="7:7">
      <c r="G1183" s="55"/>
    </row>
    <row r="1184" spans="7:7">
      <c r="G1184" s="55"/>
    </row>
    <row r="1185" spans="7:7">
      <c r="G1185" s="55"/>
    </row>
    <row r="1186" spans="7:7">
      <c r="G1186" s="55"/>
    </row>
    <row r="1187" spans="7:7">
      <c r="G1187" s="55"/>
    </row>
    <row r="1188" spans="7:7">
      <c r="G1188" s="55"/>
    </row>
    <row r="1189" spans="7:7">
      <c r="G1189" s="55"/>
    </row>
    <row r="1190" spans="7:7">
      <c r="G1190" s="55"/>
    </row>
    <row r="1191" spans="7:7">
      <c r="G1191" s="55"/>
    </row>
    <row r="1192" spans="7:7">
      <c r="G1192" s="55"/>
    </row>
    <row r="1193" spans="7:7">
      <c r="G1193" s="55"/>
    </row>
    <row r="1194" spans="7:7">
      <c r="G1194" s="55"/>
    </row>
    <row r="1195" spans="7:7">
      <c r="G1195" s="55"/>
    </row>
    <row r="1196" spans="7:7">
      <c r="G1196" s="55"/>
    </row>
    <row r="1197" spans="7:7">
      <c r="G1197" s="55"/>
    </row>
    <row r="1198" spans="7:7">
      <c r="G1198" s="55"/>
    </row>
    <row r="1199" spans="7:7">
      <c r="G1199" s="55"/>
    </row>
    <row r="1200" spans="7:7">
      <c r="G1200" s="55"/>
    </row>
    <row r="1201" spans="7:7">
      <c r="G1201" s="55"/>
    </row>
    <row r="1202" spans="7:7">
      <c r="G1202" s="55"/>
    </row>
    <row r="1203" spans="7:7">
      <c r="G1203" s="55"/>
    </row>
    <row r="1204" spans="7:7">
      <c r="G1204" s="55"/>
    </row>
    <row r="1205" spans="7:7">
      <c r="G1205" s="55"/>
    </row>
    <row r="1206" spans="7:7">
      <c r="G1206" s="55"/>
    </row>
    <row r="1207" spans="7:7">
      <c r="G1207" s="55"/>
    </row>
    <row r="1208" spans="7:7">
      <c r="G1208" s="55"/>
    </row>
    <row r="1209" spans="7:7">
      <c r="G1209" s="55"/>
    </row>
    <row r="1210" spans="7:7">
      <c r="G1210" s="55"/>
    </row>
    <row r="1211" spans="7:7">
      <c r="G1211" s="55"/>
    </row>
    <row r="1212" spans="7:7">
      <c r="G1212" s="55"/>
    </row>
    <row r="1213" spans="7:7">
      <c r="G1213" s="55"/>
    </row>
    <row r="1214" spans="7:7">
      <c r="G1214" s="55"/>
    </row>
    <row r="1215" spans="7:7">
      <c r="G1215" s="55"/>
    </row>
    <row r="1216" spans="7:7">
      <c r="G1216" s="55"/>
    </row>
    <row r="1217" spans="7:7">
      <c r="G1217" s="55"/>
    </row>
    <row r="1218" spans="7:7">
      <c r="G1218" s="55"/>
    </row>
    <row r="1219" spans="7:7">
      <c r="G1219" s="55"/>
    </row>
    <row r="1220" spans="7:7">
      <c r="G1220" s="55"/>
    </row>
    <row r="1221" spans="7:7">
      <c r="G1221" s="55"/>
    </row>
    <row r="1222" spans="7:7">
      <c r="G1222" s="55"/>
    </row>
    <row r="1223" spans="7:7">
      <c r="G1223" s="55"/>
    </row>
    <row r="1224" spans="7:7">
      <c r="G1224" s="55"/>
    </row>
    <row r="1225" spans="7:7">
      <c r="G1225" s="55"/>
    </row>
    <row r="1226" spans="7:7">
      <c r="G1226" s="55"/>
    </row>
    <row r="1227" spans="7:7">
      <c r="G1227" s="55"/>
    </row>
    <row r="1228" spans="7:7">
      <c r="G1228" s="55"/>
    </row>
    <row r="1229" spans="7:7">
      <c r="G1229" s="55"/>
    </row>
    <row r="1230" spans="7:7">
      <c r="G1230" s="55"/>
    </row>
    <row r="1231" spans="7:7">
      <c r="G1231" s="55"/>
    </row>
    <row r="1232" spans="7:7">
      <c r="G1232" s="55"/>
    </row>
    <row r="1233" spans="7:7">
      <c r="G1233" s="55"/>
    </row>
    <row r="1234" spans="7:7">
      <c r="G1234" s="55"/>
    </row>
    <row r="1235" spans="7:7">
      <c r="G1235" s="55"/>
    </row>
    <row r="1236" spans="7:7">
      <c r="G1236" s="55"/>
    </row>
    <row r="1237" spans="7:7">
      <c r="G1237" s="55"/>
    </row>
    <row r="1238" spans="7:7">
      <c r="G1238" s="55"/>
    </row>
    <row r="1239" spans="7:7">
      <c r="G1239" s="55"/>
    </row>
    <row r="1240" spans="7:7">
      <c r="G1240" s="55"/>
    </row>
    <row r="1241" spans="7:7">
      <c r="G1241" s="55"/>
    </row>
    <row r="1242" spans="7:7">
      <c r="G1242" s="52"/>
    </row>
    <row r="1243" spans="7:7">
      <c r="G1243" s="52"/>
    </row>
    <row r="1244" spans="7:7">
      <c r="G1244" s="52"/>
    </row>
    <row r="1245" spans="7:7">
      <c r="G1245" s="52"/>
    </row>
    <row r="1246" spans="7:7">
      <c r="G1246" s="52"/>
    </row>
    <row r="1247" spans="7:7">
      <c r="G1247" s="52"/>
    </row>
    <row r="1248" spans="7:7">
      <c r="G1248" s="52"/>
    </row>
    <row r="1249" spans="7:7">
      <c r="G1249" s="52"/>
    </row>
    <row r="1250" spans="7:7">
      <c r="G1250" s="52"/>
    </row>
    <row r="1251" spans="7:7">
      <c r="G1251" s="52"/>
    </row>
    <row r="1252" spans="7:7">
      <c r="G1252" s="52"/>
    </row>
    <row r="1253" spans="7:7">
      <c r="G1253" s="52"/>
    </row>
    <row r="1254" spans="7:7">
      <c r="G1254" s="52"/>
    </row>
    <row r="1255" spans="7:7">
      <c r="G1255" s="52"/>
    </row>
    <row r="1256" spans="7:7">
      <c r="G1256" s="52"/>
    </row>
    <row r="1257" spans="7:7">
      <c r="G1257" s="52"/>
    </row>
    <row r="1258" spans="7:7">
      <c r="G1258" s="52"/>
    </row>
    <row r="1259" spans="7:7">
      <c r="G1259" s="52"/>
    </row>
    <row r="1260" spans="7:7">
      <c r="G1260" s="52"/>
    </row>
    <row r="1261" spans="7:7">
      <c r="G1261" s="52"/>
    </row>
    <row r="1262" spans="7:7">
      <c r="G1262" s="52"/>
    </row>
    <row r="1263" spans="7:7">
      <c r="G1263" s="52"/>
    </row>
    <row r="1264" spans="7:7">
      <c r="G1264" s="52"/>
    </row>
    <row r="1265" spans="7:7">
      <c r="G1265" s="52"/>
    </row>
    <row r="1266" spans="7:7">
      <c r="G1266" s="52"/>
    </row>
    <row r="1267" spans="7:7">
      <c r="G1267" s="52"/>
    </row>
    <row r="1268" spans="7:7">
      <c r="G1268" s="52"/>
    </row>
    <row r="1269" spans="7:7">
      <c r="G1269" s="52"/>
    </row>
    <row r="1270" spans="7:7">
      <c r="G1270" s="52"/>
    </row>
    <row r="1271" spans="7:7">
      <c r="G1271" s="52"/>
    </row>
    <row r="1272" spans="7:7">
      <c r="G1272" s="52"/>
    </row>
    <row r="1273" spans="7:7">
      <c r="G1273" s="52"/>
    </row>
    <row r="1274" spans="7:7">
      <c r="G1274" s="52"/>
    </row>
    <row r="1275" spans="7:7">
      <c r="G1275" s="52"/>
    </row>
    <row r="1276" spans="7:7">
      <c r="G1276" s="52"/>
    </row>
    <row r="1277" spans="7:7">
      <c r="G1277" s="52"/>
    </row>
    <row r="1278" spans="7:7">
      <c r="G1278" s="52"/>
    </row>
    <row r="1279" spans="7:7">
      <c r="G1279" s="52"/>
    </row>
    <row r="1280" spans="7:7">
      <c r="G1280" s="52"/>
    </row>
    <row r="1281" spans="7:7">
      <c r="G1281" s="52"/>
    </row>
    <row r="1282" spans="7:7">
      <c r="G1282" s="52"/>
    </row>
    <row r="1283" spans="7:7">
      <c r="G1283" s="52"/>
    </row>
    <row r="1284" spans="7:7">
      <c r="G1284" s="52"/>
    </row>
    <row r="1285" spans="7:7">
      <c r="G1285" s="52"/>
    </row>
    <row r="1286" spans="7:7">
      <c r="G1286" s="52"/>
    </row>
    <row r="1287" spans="7:7">
      <c r="G1287" s="52"/>
    </row>
    <row r="1288" spans="7:7">
      <c r="G1288" s="52"/>
    </row>
    <row r="1289" spans="7:7">
      <c r="G1289" s="52"/>
    </row>
    <row r="1290" spans="7:7">
      <c r="G1290" s="52"/>
    </row>
    <row r="1291" spans="7:7">
      <c r="G1291" s="52"/>
    </row>
    <row r="1292" spans="7:7">
      <c r="G1292" s="52"/>
    </row>
    <row r="1293" spans="7:7">
      <c r="G1293" s="52"/>
    </row>
    <row r="1294" spans="7:7">
      <c r="G1294" s="52"/>
    </row>
    <row r="1295" spans="7:7">
      <c r="G1295" s="52"/>
    </row>
    <row r="1296" spans="7:7">
      <c r="G1296" s="52"/>
    </row>
    <row r="1297" spans="7:7">
      <c r="G1297" s="52"/>
    </row>
    <row r="1298" spans="7:7">
      <c r="G1298" s="52"/>
    </row>
    <row r="1299" spans="7:7">
      <c r="G1299" s="52"/>
    </row>
    <row r="1300" spans="7:7">
      <c r="G1300" s="52"/>
    </row>
    <row r="1301" spans="7:7">
      <c r="G1301" s="52"/>
    </row>
    <row r="1302" spans="7:7">
      <c r="G1302" s="52"/>
    </row>
    <row r="1303" spans="7:7">
      <c r="G1303" s="52"/>
    </row>
    <row r="1304" spans="7:7">
      <c r="G1304" s="52"/>
    </row>
    <row r="1305" spans="7:7">
      <c r="G1305" s="52"/>
    </row>
    <row r="1306" spans="7:7">
      <c r="G1306" s="52"/>
    </row>
    <row r="1307" spans="7:7">
      <c r="G1307" s="52"/>
    </row>
    <row r="1308" spans="7:7">
      <c r="G1308" s="52"/>
    </row>
    <row r="1309" spans="7:7">
      <c r="G1309" s="52"/>
    </row>
    <row r="1310" spans="7:7">
      <c r="G1310" s="52"/>
    </row>
    <row r="1311" spans="7:7">
      <c r="G1311" s="52"/>
    </row>
    <row r="1312" spans="7:7">
      <c r="G1312" s="52"/>
    </row>
    <row r="1313" spans="7:7">
      <c r="G1313" s="52"/>
    </row>
    <row r="1314" spans="7:7">
      <c r="G1314" s="52"/>
    </row>
    <row r="1315" spans="7:7">
      <c r="G1315" s="52"/>
    </row>
    <row r="1316" spans="7:7">
      <c r="G1316" s="52"/>
    </row>
    <row r="1317" spans="7:7">
      <c r="G1317" s="52"/>
    </row>
    <row r="1318" spans="7:7">
      <c r="G1318" s="52"/>
    </row>
    <row r="1319" spans="7:7">
      <c r="G1319" s="52"/>
    </row>
    <row r="1320" spans="7:7">
      <c r="G1320" s="52"/>
    </row>
    <row r="1321" spans="7:7">
      <c r="G1321" s="52"/>
    </row>
    <row r="1322" spans="7:7">
      <c r="G1322" s="52"/>
    </row>
    <row r="1323" spans="7:7">
      <c r="G1323" s="52"/>
    </row>
    <row r="1324" spans="7:7">
      <c r="G1324" s="52"/>
    </row>
    <row r="1325" spans="7:7">
      <c r="G1325" s="52"/>
    </row>
    <row r="1326" spans="7:7">
      <c r="G1326" s="52"/>
    </row>
    <row r="1327" spans="7:7">
      <c r="G1327" s="52"/>
    </row>
    <row r="1328" spans="7:7">
      <c r="G1328" s="52"/>
    </row>
    <row r="1329" spans="7:7">
      <c r="G1329" s="52"/>
    </row>
    <row r="1330" spans="7:7">
      <c r="G1330" s="52"/>
    </row>
    <row r="1331" spans="7:7">
      <c r="G1331" s="52"/>
    </row>
    <row r="1332" spans="7:7">
      <c r="G1332" s="52"/>
    </row>
    <row r="1333" spans="7:7">
      <c r="G1333" s="52"/>
    </row>
    <row r="1334" spans="7:7">
      <c r="G1334" s="52"/>
    </row>
    <row r="1335" spans="7:7">
      <c r="G1335" s="52"/>
    </row>
    <row r="1336" spans="7:7">
      <c r="G1336" s="52"/>
    </row>
    <row r="1337" spans="7:7">
      <c r="G1337" s="52"/>
    </row>
    <row r="1338" spans="7:7">
      <c r="G1338" s="52"/>
    </row>
    <row r="1339" spans="7:7">
      <c r="G1339" s="52"/>
    </row>
    <row r="1340" spans="7:7">
      <c r="G1340" s="52"/>
    </row>
    <row r="1341" spans="7:7">
      <c r="G1341" s="52"/>
    </row>
    <row r="1342" spans="7:7">
      <c r="G1342" s="52"/>
    </row>
    <row r="1343" spans="7:7">
      <c r="G1343" s="52"/>
    </row>
    <row r="1344" spans="7:7">
      <c r="G1344" s="52"/>
    </row>
    <row r="1345" spans="7:7">
      <c r="G1345" s="52"/>
    </row>
    <row r="1346" spans="7:7">
      <c r="G1346" s="52"/>
    </row>
    <row r="1347" spans="7:7">
      <c r="G1347" s="52"/>
    </row>
    <row r="1348" spans="7:7">
      <c r="G1348" s="52"/>
    </row>
    <row r="1349" spans="7:7">
      <c r="G1349" s="52"/>
    </row>
    <row r="1350" spans="7:7">
      <c r="G1350" s="52"/>
    </row>
    <row r="1351" spans="7:7">
      <c r="G1351" s="52"/>
    </row>
    <row r="1352" spans="7:7">
      <c r="G1352" s="52"/>
    </row>
    <row r="1353" spans="7:7">
      <c r="G1353" s="52"/>
    </row>
    <row r="1354" spans="7:7">
      <c r="G1354" s="52"/>
    </row>
    <row r="1355" spans="7:7">
      <c r="G1355" s="52"/>
    </row>
    <row r="1356" spans="7:7">
      <c r="G1356" s="52"/>
    </row>
    <row r="1357" spans="7:7">
      <c r="G1357" s="52"/>
    </row>
    <row r="1358" spans="7:7">
      <c r="G1358" s="52"/>
    </row>
    <row r="1359" spans="7:7">
      <c r="G1359" s="52"/>
    </row>
    <row r="1360" spans="7:7">
      <c r="G1360" s="52"/>
    </row>
    <row r="1361" spans="7:7">
      <c r="G1361" s="52"/>
    </row>
    <row r="1362" spans="7:7">
      <c r="G1362" s="52"/>
    </row>
    <row r="1363" spans="7:7">
      <c r="G1363" s="52"/>
    </row>
    <row r="1364" spans="7:7">
      <c r="G1364" s="52"/>
    </row>
    <row r="1365" spans="7:7">
      <c r="G1365" s="52"/>
    </row>
    <row r="1366" spans="7:7">
      <c r="G1366" s="52"/>
    </row>
    <row r="1367" spans="7:7">
      <c r="G1367" s="52"/>
    </row>
    <row r="1368" spans="7:7">
      <c r="G1368" s="52"/>
    </row>
    <row r="1369" spans="7:7">
      <c r="G1369" s="52"/>
    </row>
    <row r="1370" spans="7:7">
      <c r="G1370" s="52"/>
    </row>
    <row r="1371" spans="7:7">
      <c r="G1371" s="52"/>
    </row>
    <row r="1372" spans="7:7">
      <c r="G1372" s="52"/>
    </row>
    <row r="1373" spans="7:7">
      <c r="G1373" s="52"/>
    </row>
    <row r="1374" spans="7:7">
      <c r="G1374" s="52"/>
    </row>
    <row r="1375" spans="7:7">
      <c r="G1375" s="52"/>
    </row>
    <row r="1376" spans="7:7">
      <c r="G1376" s="52"/>
    </row>
    <row r="1377" spans="7:7">
      <c r="G1377" s="52"/>
    </row>
    <row r="1378" spans="7:7">
      <c r="G1378" s="52"/>
    </row>
    <row r="1379" spans="7:7">
      <c r="G1379" s="52"/>
    </row>
    <row r="1380" spans="7:7">
      <c r="G1380" s="52"/>
    </row>
    <row r="1381" spans="7:7">
      <c r="G1381" s="52"/>
    </row>
    <row r="1382" spans="7:7">
      <c r="G1382" s="52"/>
    </row>
    <row r="1383" spans="7:7">
      <c r="G1383" s="52"/>
    </row>
    <row r="1384" spans="7:7">
      <c r="G1384" s="52"/>
    </row>
    <row r="1385" spans="7:7">
      <c r="G1385" s="52"/>
    </row>
    <row r="1386" spans="7:7">
      <c r="G1386" s="52"/>
    </row>
    <row r="1387" spans="7:7">
      <c r="G1387" s="52"/>
    </row>
    <row r="1388" spans="7:7">
      <c r="G1388" s="52"/>
    </row>
    <row r="1389" spans="7:7">
      <c r="G1389" s="52"/>
    </row>
    <row r="1390" spans="7:7">
      <c r="G1390" s="52"/>
    </row>
    <row r="1391" spans="7:7">
      <c r="G1391" s="52"/>
    </row>
    <row r="1392" spans="7:7">
      <c r="G1392" s="52"/>
    </row>
    <row r="1393" spans="7:7">
      <c r="G1393" s="52"/>
    </row>
    <row r="1394" spans="7:7">
      <c r="G1394" s="52"/>
    </row>
    <row r="1395" spans="7:7">
      <c r="G1395" s="52"/>
    </row>
    <row r="1396" spans="7:7">
      <c r="G1396" s="52"/>
    </row>
    <row r="1397" spans="7:7">
      <c r="G1397" s="52"/>
    </row>
    <row r="1398" spans="7:7">
      <c r="G1398" s="52"/>
    </row>
    <row r="1399" spans="7:7">
      <c r="G1399" s="52"/>
    </row>
    <row r="1400" spans="7:7">
      <c r="G1400" s="52"/>
    </row>
    <row r="1401" spans="7:7">
      <c r="G1401" s="52"/>
    </row>
    <row r="1402" spans="7:7">
      <c r="G1402" s="52"/>
    </row>
    <row r="1403" spans="7:7">
      <c r="G1403" s="52"/>
    </row>
    <row r="1404" spans="7:7">
      <c r="G1404" s="52"/>
    </row>
    <row r="1405" spans="7:7">
      <c r="G1405" s="52"/>
    </row>
    <row r="1406" spans="7:7">
      <c r="G1406" s="52"/>
    </row>
    <row r="1407" spans="7:7">
      <c r="G1407" s="52"/>
    </row>
    <row r="1408" spans="7:7">
      <c r="G1408" s="52"/>
    </row>
    <row r="1409" spans="7:7">
      <c r="G1409" s="52"/>
    </row>
    <row r="1410" spans="7:7">
      <c r="G1410" s="52"/>
    </row>
    <row r="1411" spans="7:7">
      <c r="G1411" s="52"/>
    </row>
    <row r="1412" spans="7:7">
      <c r="G1412" s="52"/>
    </row>
    <row r="1413" spans="7:7">
      <c r="G1413" s="52"/>
    </row>
    <row r="1414" spans="7:7">
      <c r="G1414" s="52"/>
    </row>
    <row r="1415" spans="7:7">
      <c r="G1415" s="52"/>
    </row>
    <row r="1416" spans="7:7">
      <c r="G1416" s="52"/>
    </row>
    <row r="1417" spans="7:7">
      <c r="G1417" s="52"/>
    </row>
    <row r="1418" spans="7:7">
      <c r="G1418" s="52"/>
    </row>
    <row r="1419" spans="7:7">
      <c r="G1419" s="52"/>
    </row>
    <row r="1420" spans="7:7">
      <c r="G1420" s="52"/>
    </row>
    <row r="1421" spans="7:7">
      <c r="G1421" s="52"/>
    </row>
    <row r="1422" spans="7:7">
      <c r="G1422" s="52"/>
    </row>
    <row r="1423" spans="7:7">
      <c r="G1423" s="52"/>
    </row>
    <row r="1424" spans="7:7">
      <c r="G1424" s="52"/>
    </row>
    <row r="1425" spans="7:7">
      <c r="G1425" s="52"/>
    </row>
    <row r="1426" spans="7:7">
      <c r="G1426" s="52"/>
    </row>
    <row r="1427" spans="7:7">
      <c r="G1427" s="52"/>
    </row>
    <row r="1428" spans="7:7">
      <c r="G1428" s="52"/>
    </row>
    <row r="1429" spans="7:7">
      <c r="G1429" s="52"/>
    </row>
    <row r="1430" spans="7:7">
      <c r="G1430" s="52"/>
    </row>
    <row r="1431" spans="7:7">
      <c r="G1431" s="52"/>
    </row>
    <row r="1432" spans="7:7">
      <c r="G1432" s="52"/>
    </row>
    <row r="1433" spans="7:7">
      <c r="G1433" s="52"/>
    </row>
    <row r="1434" spans="7:7">
      <c r="G1434" s="52"/>
    </row>
    <row r="1435" spans="7:7">
      <c r="G1435" s="52"/>
    </row>
    <row r="1436" spans="7:7">
      <c r="G1436" s="52"/>
    </row>
    <row r="1437" spans="7:7">
      <c r="G1437" s="52"/>
    </row>
    <row r="1438" spans="7:7">
      <c r="G1438" s="52"/>
    </row>
    <row r="1439" spans="7:7">
      <c r="G1439" s="52"/>
    </row>
    <row r="1440" spans="7:7">
      <c r="G1440" s="52"/>
    </row>
    <row r="1441" spans="7:7">
      <c r="G1441" s="52"/>
    </row>
    <row r="1442" spans="7:7">
      <c r="G1442" s="52"/>
    </row>
    <row r="1443" spans="7:7">
      <c r="G1443" s="52"/>
    </row>
    <row r="1444" spans="7:7">
      <c r="G1444" s="52"/>
    </row>
    <row r="1445" spans="7:7">
      <c r="G1445" s="52"/>
    </row>
    <row r="1446" spans="7:7">
      <c r="G1446" s="52"/>
    </row>
    <row r="1447" spans="7:7">
      <c r="G1447" s="52"/>
    </row>
    <row r="1448" spans="7:7">
      <c r="G1448" s="52"/>
    </row>
    <row r="1449" spans="7:7">
      <c r="G1449" s="52"/>
    </row>
    <row r="1450" spans="7:7">
      <c r="G1450" s="52"/>
    </row>
    <row r="1451" spans="7:7">
      <c r="G1451" s="52"/>
    </row>
    <row r="1452" spans="7:7">
      <c r="G1452" s="52"/>
    </row>
    <row r="1453" spans="7:7">
      <c r="G1453" s="52"/>
    </row>
    <row r="1454" spans="7:7">
      <c r="G1454" s="52"/>
    </row>
    <row r="1455" spans="7:7">
      <c r="G1455" s="52"/>
    </row>
    <row r="1456" spans="7:7">
      <c r="G1456" s="52"/>
    </row>
    <row r="1457" spans="7:7">
      <c r="G1457" s="52"/>
    </row>
    <row r="1458" spans="7:7">
      <c r="G1458" s="52"/>
    </row>
    <row r="1459" spans="7:7">
      <c r="G1459" s="52"/>
    </row>
    <row r="1460" spans="7:7">
      <c r="G1460" s="52"/>
    </row>
    <row r="1461" spans="7:7">
      <c r="G1461" s="52"/>
    </row>
    <row r="1462" spans="7:7">
      <c r="G1462" s="52"/>
    </row>
    <row r="1463" spans="7:7">
      <c r="G1463" s="52"/>
    </row>
    <row r="1464" spans="7:7">
      <c r="G1464" s="52"/>
    </row>
    <row r="1465" spans="7:7">
      <c r="G1465" s="52"/>
    </row>
    <row r="1466" spans="7:7">
      <c r="G1466" s="52"/>
    </row>
    <row r="1467" spans="7:7">
      <c r="G1467" s="52"/>
    </row>
    <row r="1468" spans="7:7">
      <c r="G1468" s="52"/>
    </row>
    <row r="1469" spans="7:7">
      <c r="G1469" s="52"/>
    </row>
    <row r="1470" spans="7:7">
      <c r="G1470" s="52"/>
    </row>
    <row r="1471" spans="7:7">
      <c r="G1471" s="52"/>
    </row>
    <row r="1472" spans="7:7">
      <c r="G1472" s="52"/>
    </row>
    <row r="1473" spans="7:7">
      <c r="G1473" s="52"/>
    </row>
    <row r="1474" spans="7:7">
      <c r="G1474" s="52"/>
    </row>
    <row r="1475" spans="7:7">
      <c r="G1475" s="52"/>
    </row>
    <row r="1476" spans="7:7">
      <c r="G1476" s="52"/>
    </row>
    <row r="1477" spans="7:7">
      <c r="G1477" s="52"/>
    </row>
    <row r="1478" spans="7:7">
      <c r="G1478" s="52"/>
    </row>
    <row r="1479" spans="7:7">
      <c r="G1479" s="52"/>
    </row>
    <row r="1480" spans="7:7">
      <c r="G1480" s="52"/>
    </row>
    <row r="1481" spans="7:7">
      <c r="G1481" s="52"/>
    </row>
    <row r="1482" spans="7:7">
      <c r="G1482" s="52"/>
    </row>
    <row r="1483" spans="7:7">
      <c r="G1483" s="52"/>
    </row>
    <row r="1484" spans="7:7">
      <c r="G1484" s="52"/>
    </row>
    <row r="1485" spans="7:7">
      <c r="G1485" s="52"/>
    </row>
    <row r="1486" spans="7:7">
      <c r="G1486" s="52"/>
    </row>
    <row r="1487" spans="7:7">
      <c r="G1487" s="52"/>
    </row>
    <row r="1488" spans="7:7">
      <c r="G1488" s="52"/>
    </row>
    <row r="1489" spans="7:7">
      <c r="G1489" s="52"/>
    </row>
    <row r="1490" spans="7:7">
      <c r="G1490" s="52"/>
    </row>
    <row r="1491" spans="7:7">
      <c r="G1491" s="52"/>
    </row>
    <row r="1492" spans="7:7">
      <c r="G1492" s="52"/>
    </row>
    <row r="1493" spans="7:7">
      <c r="G1493" s="52"/>
    </row>
    <row r="1494" spans="7:7">
      <c r="G1494" s="52"/>
    </row>
    <row r="1495" spans="7:7">
      <c r="G1495" s="52"/>
    </row>
    <row r="1496" spans="7:7">
      <c r="G1496" s="52"/>
    </row>
    <row r="1497" spans="7:7">
      <c r="G1497" s="52"/>
    </row>
    <row r="1498" spans="7:7">
      <c r="G1498" s="52"/>
    </row>
    <row r="1499" spans="7:7">
      <c r="G1499" s="52"/>
    </row>
    <row r="1500" spans="7:7">
      <c r="G1500" s="52"/>
    </row>
    <row r="1501" spans="7:7">
      <c r="G1501" s="52"/>
    </row>
    <row r="1502" spans="7:7">
      <c r="G1502" s="52"/>
    </row>
    <row r="1503" spans="7:7">
      <c r="G1503" s="52"/>
    </row>
    <row r="1504" spans="7:7">
      <c r="G1504" s="52"/>
    </row>
    <row r="1505" spans="7:7">
      <c r="G1505" s="52"/>
    </row>
    <row r="1506" spans="7:7">
      <c r="G1506" s="52"/>
    </row>
    <row r="1507" spans="7:7">
      <c r="G1507" s="52"/>
    </row>
    <row r="1508" spans="7:7">
      <c r="G1508" s="52"/>
    </row>
    <row r="1509" spans="7:7">
      <c r="G1509" s="52"/>
    </row>
    <row r="1510" spans="7:7">
      <c r="G1510" s="52"/>
    </row>
    <row r="1511" spans="7:7">
      <c r="G1511" s="52"/>
    </row>
    <row r="1512" spans="7:7">
      <c r="G1512" s="52"/>
    </row>
    <row r="1513" spans="7:7">
      <c r="G1513" s="52"/>
    </row>
    <row r="1514" spans="7:7">
      <c r="G1514" s="52"/>
    </row>
    <row r="1515" spans="7:7">
      <c r="G1515" s="52"/>
    </row>
    <row r="1516" spans="7:7">
      <c r="G1516" s="52"/>
    </row>
    <row r="1517" spans="7:7">
      <c r="G1517" s="52"/>
    </row>
    <row r="1518" spans="7:7">
      <c r="G1518" s="52"/>
    </row>
    <row r="1519" spans="7:7">
      <c r="G1519" s="52"/>
    </row>
    <row r="1520" spans="7:7">
      <c r="G1520" s="52"/>
    </row>
    <row r="1521" spans="7:7">
      <c r="G1521" s="52"/>
    </row>
    <row r="1522" spans="7:7">
      <c r="G1522" s="52"/>
    </row>
    <row r="1523" spans="7:7">
      <c r="G1523" s="52"/>
    </row>
    <row r="1524" spans="7:7">
      <c r="G1524" s="52"/>
    </row>
    <row r="1525" spans="7:7">
      <c r="G1525" s="52"/>
    </row>
    <row r="1526" spans="7:7">
      <c r="G1526" s="52"/>
    </row>
    <row r="1527" spans="7:7">
      <c r="G1527" s="52"/>
    </row>
    <row r="1528" spans="7:7">
      <c r="G1528" s="52"/>
    </row>
    <row r="1529" spans="7:7">
      <c r="G1529" s="52"/>
    </row>
    <row r="1530" spans="7:7">
      <c r="G1530" s="52"/>
    </row>
    <row r="1531" spans="7:7">
      <c r="G1531" s="52"/>
    </row>
    <row r="1532" spans="7:7">
      <c r="G1532" s="52"/>
    </row>
    <row r="1533" spans="7:7">
      <c r="G1533" s="52"/>
    </row>
    <row r="1534" spans="7:7">
      <c r="G1534" s="52"/>
    </row>
    <row r="1535" spans="7:7">
      <c r="G1535" s="52"/>
    </row>
    <row r="1536" spans="7:7">
      <c r="G1536" s="52"/>
    </row>
    <row r="1537" spans="7:7">
      <c r="G1537" s="52"/>
    </row>
    <row r="1538" spans="7:7">
      <c r="G1538" s="52"/>
    </row>
    <row r="1539" spans="7:7">
      <c r="G1539" s="52"/>
    </row>
    <row r="1540" spans="7:7">
      <c r="G1540" s="52"/>
    </row>
    <row r="1541" spans="7:7">
      <c r="G1541" s="52"/>
    </row>
    <row r="1542" spans="7:7">
      <c r="G1542" s="52"/>
    </row>
    <row r="1543" spans="7:7">
      <c r="G1543" s="52"/>
    </row>
    <row r="1544" spans="7:7">
      <c r="G1544" s="52"/>
    </row>
    <row r="1545" spans="7:7">
      <c r="G1545" s="52"/>
    </row>
    <row r="1546" spans="7:7">
      <c r="G1546" s="52"/>
    </row>
    <row r="1547" spans="7:7">
      <c r="G1547" s="52"/>
    </row>
    <row r="1548" spans="7:7">
      <c r="G1548" s="52"/>
    </row>
    <row r="1549" spans="7:7">
      <c r="G1549" s="52"/>
    </row>
    <row r="1550" spans="7:7">
      <c r="G1550" s="52"/>
    </row>
    <row r="1551" spans="7:7">
      <c r="G1551" s="52"/>
    </row>
    <row r="1552" spans="7:7">
      <c r="G1552" s="52"/>
    </row>
    <row r="1553" spans="7:7">
      <c r="G1553" s="52"/>
    </row>
    <row r="1554" spans="7:7">
      <c r="G1554" s="52"/>
    </row>
    <row r="1555" spans="7:7">
      <c r="G1555" s="52"/>
    </row>
    <row r="1556" spans="7:7">
      <c r="G1556" s="52"/>
    </row>
    <row r="1557" spans="7:7">
      <c r="G1557" s="52"/>
    </row>
    <row r="1558" spans="7:7">
      <c r="G1558" s="52"/>
    </row>
    <row r="1559" spans="7:7">
      <c r="G1559" s="52"/>
    </row>
    <row r="1560" spans="7:7">
      <c r="G1560" s="52"/>
    </row>
    <row r="1561" spans="7:7">
      <c r="G1561" s="52"/>
    </row>
    <row r="1562" spans="7:7">
      <c r="G1562" s="52"/>
    </row>
    <row r="1563" spans="7:7">
      <c r="G1563" s="52"/>
    </row>
    <row r="1564" spans="7:7">
      <c r="G1564" s="52"/>
    </row>
    <row r="1565" spans="7:7">
      <c r="G1565" s="52"/>
    </row>
    <row r="1566" spans="7:7">
      <c r="G1566" s="52"/>
    </row>
    <row r="1567" spans="7:7">
      <c r="G1567" s="52"/>
    </row>
    <row r="1568" spans="7:7">
      <c r="G1568" s="52"/>
    </row>
    <row r="1569" spans="7:7">
      <c r="G1569" s="52"/>
    </row>
    <row r="1570" spans="7:7">
      <c r="G1570" s="52"/>
    </row>
    <row r="1571" spans="7:7">
      <c r="G1571" s="52"/>
    </row>
    <row r="1572" spans="7:7">
      <c r="G1572" s="52"/>
    </row>
    <row r="1573" spans="7:7">
      <c r="G1573" s="52"/>
    </row>
    <row r="1574" spans="7:7">
      <c r="G1574" s="52"/>
    </row>
    <row r="1575" spans="7:7">
      <c r="G1575" s="52"/>
    </row>
    <row r="1576" spans="7:7">
      <c r="G1576" s="52"/>
    </row>
    <row r="1577" spans="7:7">
      <c r="G1577" s="52"/>
    </row>
    <row r="1578" spans="7:7">
      <c r="G1578" s="52"/>
    </row>
    <row r="1579" spans="7:7">
      <c r="G1579" s="52"/>
    </row>
    <row r="1580" spans="7:7">
      <c r="G1580" s="52"/>
    </row>
    <row r="1581" spans="7:7">
      <c r="G1581" s="52"/>
    </row>
    <row r="1582" spans="7:7">
      <c r="G1582" s="52"/>
    </row>
    <row r="1583" spans="7:7">
      <c r="G1583" s="52"/>
    </row>
    <row r="1584" spans="7:7">
      <c r="G1584" s="52"/>
    </row>
    <row r="1585" spans="7:7">
      <c r="G1585" s="52"/>
    </row>
    <row r="1586" spans="7:7">
      <c r="G1586" s="52"/>
    </row>
    <row r="1587" spans="7:7">
      <c r="G1587" s="52"/>
    </row>
    <row r="1588" spans="7:7">
      <c r="G1588" s="52"/>
    </row>
    <row r="1589" spans="7:7">
      <c r="G1589" s="52"/>
    </row>
    <row r="1590" spans="7:7">
      <c r="G1590" s="52"/>
    </row>
    <row r="1591" spans="7:7">
      <c r="G1591" s="52"/>
    </row>
    <row r="1592" spans="7:7">
      <c r="G1592" s="52"/>
    </row>
    <row r="1593" spans="7:7">
      <c r="G1593" s="52"/>
    </row>
    <row r="1594" spans="7:7">
      <c r="G1594" s="52"/>
    </row>
    <row r="1595" spans="7:7">
      <c r="G1595" s="52"/>
    </row>
    <row r="1596" spans="7:7">
      <c r="G1596" s="52"/>
    </row>
    <row r="1597" spans="7:7">
      <c r="G1597" s="52"/>
    </row>
    <row r="1598" spans="7:7">
      <c r="G1598" s="52"/>
    </row>
    <row r="1599" spans="7:7">
      <c r="G1599" s="52"/>
    </row>
    <row r="1600" spans="7:7">
      <c r="G1600" s="52"/>
    </row>
    <row r="1601" spans="7:7">
      <c r="G1601" s="52"/>
    </row>
    <row r="1602" spans="7:7">
      <c r="G1602" s="52"/>
    </row>
    <row r="1603" spans="7:7">
      <c r="G1603" s="52"/>
    </row>
    <row r="1604" spans="7:7">
      <c r="G1604" s="52"/>
    </row>
    <row r="1605" spans="7:7">
      <c r="G1605" s="52"/>
    </row>
    <row r="1606" spans="7:7">
      <c r="G1606" s="52"/>
    </row>
    <row r="1607" spans="7:7">
      <c r="G1607" s="52"/>
    </row>
    <row r="1608" spans="7:7">
      <c r="G1608" s="52"/>
    </row>
    <row r="1609" spans="7:7">
      <c r="G1609" s="52"/>
    </row>
    <row r="1610" spans="7:7">
      <c r="G1610" s="52"/>
    </row>
    <row r="1611" spans="7:7">
      <c r="G1611" s="52"/>
    </row>
    <row r="1612" spans="7:7">
      <c r="G1612" s="52"/>
    </row>
    <row r="1613" spans="7:7">
      <c r="G1613" s="52"/>
    </row>
    <row r="1614" spans="7:7">
      <c r="G1614" s="52"/>
    </row>
    <row r="1615" spans="7:7">
      <c r="G1615" s="52"/>
    </row>
    <row r="1616" spans="7:7">
      <c r="G1616" s="52"/>
    </row>
    <row r="1617" spans="7:7">
      <c r="G1617" s="52"/>
    </row>
    <row r="1618" spans="7:7">
      <c r="G1618" s="52"/>
    </row>
    <row r="1619" spans="7:7">
      <c r="G1619" s="52"/>
    </row>
    <row r="1620" spans="7:7">
      <c r="G1620" s="52"/>
    </row>
    <row r="1621" spans="7:7">
      <c r="G1621" s="52"/>
    </row>
    <row r="1622" spans="7:7">
      <c r="G1622" s="52"/>
    </row>
    <row r="1623" spans="7:7">
      <c r="G1623" s="52"/>
    </row>
    <row r="1624" spans="7:7">
      <c r="G1624" s="52"/>
    </row>
    <row r="1625" spans="7:7">
      <c r="G1625" s="52"/>
    </row>
    <row r="1626" spans="7:7">
      <c r="G1626" s="52"/>
    </row>
    <row r="1627" spans="7:7">
      <c r="G1627" s="52"/>
    </row>
    <row r="1628" spans="7:7">
      <c r="G1628" s="52"/>
    </row>
    <row r="1629" spans="7:7">
      <c r="G1629" s="52"/>
    </row>
    <row r="1630" spans="7:7">
      <c r="G1630" s="52"/>
    </row>
    <row r="1631" spans="7:7">
      <c r="G1631" s="52"/>
    </row>
    <row r="1632" spans="7:7">
      <c r="G1632" s="52"/>
    </row>
    <row r="1633" spans="7:7">
      <c r="G1633" s="52"/>
    </row>
    <row r="1634" spans="7:7">
      <c r="G1634" s="52"/>
    </row>
    <row r="1635" spans="7:7">
      <c r="G1635" s="52"/>
    </row>
    <row r="1636" spans="7:7">
      <c r="G1636" s="52"/>
    </row>
    <row r="1637" spans="7:7">
      <c r="G1637" s="52"/>
    </row>
    <row r="1638" spans="7:7">
      <c r="G1638" s="52"/>
    </row>
    <row r="1639" spans="7:7">
      <c r="G1639" s="52"/>
    </row>
    <row r="1640" spans="7:7">
      <c r="G1640" s="52"/>
    </row>
    <row r="1641" spans="7:7">
      <c r="G1641" s="52"/>
    </row>
    <row r="1642" spans="7:7">
      <c r="G1642" s="52"/>
    </row>
    <row r="1643" spans="7:7">
      <c r="G1643" s="52"/>
    </row>
    <row r="1644" spans="7:7">
      <c r="G1644" s="52"/>
    </row>
    <row r="1645" spans="7:7">
      <c r="G1645" s="52"/>
    </row>
    <row r="1646" spans="7:7">
      <c r="G1646" s="52"/>
    </row>
    <row r="1647" spans="7:7">
      <c r="G1647" s="52"/>
    </row>
    <row r="1648" spans="7:7">
      <c r="G1648" s="52"/>
    </row>
    <row r="1649" spans="7:7">
      <c r="G1649" s="52"/>
    </row>
    <row r="1650" spans="7:7">
      <c r="G1650" s="52"/>
    </row>
    <row r="1651" spans="7:7">
      <c r="G1651" s="52"/>
    </row>
    <row r="1652" spans="7:7">
      <c r="G1652" s="52"/>
    </row>
    <row r="1653" spans="7:7">
      <c r="G1653" s="52"/>
    </row>
    <row r="1654" spans="7:7">
      <c r="G1654" s="52"/>
    </row>
    <row r="1655" spans="7:7">
      <c r="G1655" s="52"/>
    </row>
    <row r="1656" spans="7:7">
      <c r="G1656" s="52"/>
    </row>
    <row r="1657" spans="7:7">
      <c r="G1657" s="52"/>
    </row>
    <row r="1658" spans="7:7">
      <c r="G1658" s="52"/>
    </row>
    <row r="1659" spans="7:7">
      <c r="G1659" s="52"/>
    </row>
    <row r="1660" spans="7:7">
      <c r="G1660" s="52"/>
    </row>
    <row r="1661" spans="7:7">
      <c r="G1661" s="52"/>
    </row>
    <row r="1662" spans="7:7">
      <c r="G1662" s="52"/>
    </row>
    <row r="1663" spans="7:7">
      <c r="G1663" s="52"/>
    </row>
    <row r="1664" spans="7:7">
      <c r="G1664" s="52"/>
    </row>
    <row r="1665" spans="7:7">
      <c r="G1665" s="52"/>
    </row>
    <row r="1666" spans="7:7">
      <c r="G1666" s="52"/>
    </row>
    <row r="1667" spans="7:7">
      <c r="G1667" s="52"/>
    </row>
    <row r="1668" spans="7:7">
      <c r="G1668" s="52"/>
    </row>
    <row r="1669" spans="7:7">
      <c r="G1669" s="52"/>
    </row>
    <row r="1670" spans="7:7">
      <c r="G1670" s="52"/>
    </row>
    <row r="1671" spans="7:7">
      <c r="G1671" s="52"/>
    </row>
    <row r="1672" spans="7:7">
      <c r="G1672" s="52"/>
    </row>
    <row r="1673" spans="7:7">
      <c r="G1673" s="52"/>
    </row>
    <row r="1674" spans="7:7">
      <c r="G1674" s="52"/>
    </row>
    <row r="1675" spans="7:7">
      <c r="G1675" s="52"/>
    </row>
    <row r="1676" spans="7:7">
      <c r="G1676" s="52"/>
    </row>
    <row r="1677" spans="7:7">
      <c r="G1677" s="52"/>
    </row>
    <row r="1678" spans="7:7">
      <c r="G1678" s="52"/>
    </row>
    <row r="1679" spans="7:7">
      <c r="G1679" s="52"/>
    </row>
    <row r="1680" spans="7:7">
      <c r="G1680" s="52"/>
    </row>
    <row r="1681" spans="7:7">
      <c r="G1681" s="52"/>
    </row>
    <row r="1682" spans="7:7">
      <c r="G1682" s="52"/>
    </row>
    <row r="1683" spans="7:7">
      <c r="G1683" s="52"/>
    </row>
    <row r="1684" spans="7:7">
      <c r="G1684" s="52"/>
    </row>
    <row r="1685" spans="7:7">
      <c r="G1685" s="52"/>
    </row>
    <row r="1686" spans="7:7">
      <c r="G1686" s="52"/>
    </row>
    <row r="1687" spans="7:7">
      <c r="G1687" s="52"/>
    </row>
    <row r="1688" spans="7:7">
      <c r="G1688" s="52"/>
    </row>
    <row r="1689" spans="7:7">
      <c r="G1689" s="52"/>
    </row>
    <row r="1690" spans="7:7">
      <c r="G1690" s="52"/>
    </row>
    <row r="1691" spans="7:7">
      <c r="G1691" s="52"/>
    </row>
    <row r="1692" spans="7:7">
      <c r="G1692" s="52"/>
    </row>
    <row r="1693" spans="7:7">
      <c r="G1693" s="52"/>
    </row>
    <row r="1694" spans="7:7">
      <c r="G1694" s="52"/>
    </row>
    <row r="1695" spans="7:7">
      <c r="G1695" s="52"/>
    </row>
    <row r="1696" spans="7:7">
      <c r="G1696" s="52"/>
    </row>
    <row r="1697" spans="7:7">
      <c r="G1697" s="52"/>
    </row>
    <row r="1698" spans="7:7">
      <c r="G1698" s="52"/>
    </row>
    <row r="1699" spans="7:7">
      <c r="G1699" s="52"/>
    </row>
    <row r="1700" spans="7:7">
      <c r="G1700" s="52"/>
    </row>
    <row r="1701" spans="7:7">
      <c r="G1701" s="52"/>
    </row>
    <row r="1702" spans="7:7">
      <c r="G1702" s="52"/>
    </row>
    <row r="1703" spans="7:7">
      <c r="G1703" s="52"/>
    </row>
    <row r="1704" spans="7:7">
      <c r="G1704" s="52"/>
    </row>
    <row r="1705" spans="7:7">
      <c r="G1705" s="52"/>
    </row>
    <row r="1706" spans="7:7">
      <c r="G1706" s="52"/>
    </row>
    <row r="1707" spans="7:7">
      <c r="G1707" s="52"/>
    </row>
    <row r="1708" spans="7:7">
      <c r="G1708" s="52"/>
    </row>
    <row r="1709" spans="7:7">
      <c r="G1709" s="52"/>
    </row>
    <row r="1710" spans="7:7">
      <c r="G1710" s="52"/>
    </row>
    <row r="1711" spans="7:7">
      <c r="G1711" s="52"/>
    </row>
    <row r="1712" spans="7:7">
      <c r="G1712" s="52"/>
    </row>
    <row r="1713" spans="7:7">
      <c r="G1713" s="52"/>
    </row>
    <row r="1714" spans="7:7">
      <c r="G1714" s="52"/>
    </row>
    <row r="1715" spans="7:7">
      <c r="G1715" s="52"/>
    </row>
    <row r="1716" spans="7:7">
      <c r="G1716" s="52"/>
    </row>
    <row r="1717" spans="7:7">
      <c r="G1717" s="52"/>
    </row>
    <row r="1718" spans="7:7">
      <c r="G1718" s="52"/>
    </row>
    <row r="1719" spans="7:7">
      <c r="G1719" s="52"/>
    </row>
    <row r="1720" spans="7:7">
      <c r="G1720" s="52"/>
    </row>
    <row r="1721" spans="7:7">
      <c r="G1721" s="52"/>
    </row>
    <row r="1722" spans="7:7">
      <c r="G1722" s="52"/>
    </row>
    <row r="1723" spans="7:7">
      <c r="G1723" s="52"/>
    </row>
    <row r="1724" spans="7:7">
      <c r="G1724" s="52"/>
    </row>
    <row r="1725" spans="7:7">
      <c r="G1725" s="52"/>
    </row>
    <row r="1726" spans="7:7">
      <c r="G1726" s="52"/>
    </row>
    <row r="1727" spans="7:7">
      <c r="G1727" s="52"/>
    </row>
    <row r="1728" spans="7:7">
      <c r="G1728" s="52"/>
    </row>
    <row r="1729" spans="7:7">
      <c r="G1729" s="52"/>
    </row>
    <row r="1730" spans="7:7">
      <c r="G1730" s="52"/>
    </row>
    <row r="1731" spans="7:7">
      <c r="G1731" s="52"/>
    </row>
    <row r="1732" spans="7:7">
      <c r="G1732" s="52"/>
    </row>
    <row r="1733" spans="7:7">
      <c r="G1733" s="52"/>
    </row>
    <row r="1734" spans="7:7">
      <c r="G1734" s="52"/>
    </row>
    <row r="1735" spans="7:7">
      <c r="G1735" s="52"/>
    </row>
    <row r="1736" spans="7:7">
      <c r="G1736" s="52"/>
    </row>
    <row r="1737" spans="7:7">
      <c r="G1737" s="52"/>
    </row>
    <row r="1738" spans="7:7">
      <c r="G1738" s="52"/>
    </row>
    <row r="1739" spans="7:7">
      <c r="G1739" s="52"/>
    </row>
    <row r="1740" spans="7:7">
      <c r="G1740" s="52"/>
    </row>
    <row r="1741" spans="7:7">
      <c r="G1741" s="52"/>
    </row>
    <row r="1742" spans="7:7">
      <c r="G1742" s="52"/>
    </row>
    <row r="1743" spans="7:7">
      <c r="G1743" s="52"/>
    </row>
    <row r="1744" spans="7:7">
      <c r="G1744" s="52"/>
    </row>
    <row r="1745" spans="7:7">
      <c r="G1745" s="52"/>
    </row>
    <row r="1746" spans="7:7">
      <c r="G1746" s="52"/>
    </row>
    <row r="1747" spans="7:7">
      <c r="G1747" s="52"/>
    </row>
    <row r="1748" spans="7:7">
      <c r="G1748" s="52"/>
    </row>
    <row r="1749" spans="7:7">
      <c r="G1749" s="52"/>
    </row>
    <row r="1750" spans="7:7">
      <c r="G1750" s="52"/>
    </row>
    <row r="1751" spans="7:7">
      <c r="G1751" s="52"/>
    </row>
    <row r="1752" spans="7:7">
      <c r="G1752" s="52"/>
    </row>
    <row r="1753" spans="7:7">
      <c r="G1753" s="52"/>
    </row>
    <row r="1754" spans="7:7">
      <c r="G1754" s="52"/>
    </row>
    <row r="1755" spans="7:7">
      <c r="G1755" s="52"/>
    </row>
    <row r="1756" spans="7:7">
      <c r="G1756" s="52"/>
    </row>
    <row r="1757" spans="7:7">
      <c r="G1757" s="52"/>
    </row>
    <row r="1758" spans="7:7">
      <c r="G1758" s="52"/>
    </row>
    <row r="1759" spans="7:7">
      <c r="G1759" s="52"/>
    </row>
    <row r="1760" spans="7:7">
      <c r="G1760" s="52"/>
    </row>
    <row r="1761" spans="7:7">
      <c r="G1761" s="52"/>
    </row>
    <row r="1762" spans="7:7">
      <c r="G1762" s="52"/>
    </row>
    <row r="1763" spans="7:7">
      <c r="G1763" s="52"/>
    </row>
    <row r="1764" spans="7:7">
      <c r="G1764" s="52"/>
    </row>
    <row r="1765" spans="7:7">
      <c r="G1765" s="52"/>
    </row>
    <row r="1766" spans="7:7">
      <c r="G1766" s="52"/>
    </row>
    <row r="1767" spans="7:7">
      <c r="G1767" s="52"/>
    </row>
    <row r="1768" spans="7:7">
      <c r="G1768" s="52"/>
    </row>
    <row r="1769" spans="7:7">
      <c r="G1769" s="52"/>
    </row>
    <row r="1770" spans="7:7">
      <c r="G1770" s="52"/>
    </row>
    <row r="1771" spans="7:7">
      <c r="G1771" s="52"/>
    </row>
    <row r="1772" spans="7:7">
      <c r="G1772" s="52"/>
    </row>
    <row r="1773" spans="7:7">
      <c r="G1773" s="52"/>
    </row>
    <row r="1774" spans="7:7">
      <c r="G1774" s="52"/>
    </row>
    <row r="1775" spans="7:7">
      <c r="G1775" s="52"/>
    </row>
    <row r="1776" spans="7:7">
      <c r="G1776" s="52"/>
    </row>
    <row r="1777" spans="7:7">
      <c r="G1777" s="52"/>
    </row>
    <row r="1778" spans="7:7">
      <c r="G1778" s="52"/>
    </row>
    <row r="1779" spans="7:7">
      <c r="G1779" s="52"/>
    </row>
    <row r="1780" spans="7:7">
      <c r="G1780" s="52"/>
    </row>
    <row r="1781" spans="7:7">
      <c r="G1781" s="52"/>
    </row>
    <row r="1782" spans="7:7">
      <c r="G1782" s="52"/>
    </row>
    <row r="1783" spans="7:7">
      <c r="G1783" s="52"/>
    </row>
    <row r="1784" spans="7:7">
      <c r="G1784" s="52"/>
    </row>
    <row r="1785" spans="7:7">
      <c r="G1785" s="52"/>
    </row>
    <row r="1786" spans="7:7">
      <c r="G1786" s="52"/>
    </row>
    <row r="1787" spans="7:7">
      <c r="G1787" s="52"/>
    </row>
    <row r="1788" spans="7:7">
      <c r="G1788" s="52"/>
    </row>
    <row r="1789" spans="7:7">
      <c r="G1789" s="52"/>
    </row>
    <row r="1790" spans="7:7">
      <c r="G1790" s="52"/>
    </row>
    <row r="1791" spans="7:7">
      <c r="G1791" s="52"/>
    </row>
    <row r="1792" spans="7:7">
      <c r="G1792" s="52"/>
    </row>
    <row r="1793" spans="7:7">
      <c r="G1793" s="52"/>
    </row>
    <row r="1794" spans="7:7">
      <c r="G1794" s="52"/>
    </row>
    <row r="1795" spans="7:7">
      <c r="G1795" s="52"/>
    </row>
    <row r="1796" spans="7:7">
      <c r="G1796" s="52"/>
    </row>
    <row r="1797" spans="7:7">
      <c r="G1797" s="52"/>
    </row>
    <row r="1798" spans="7:7">
      <c r="G1798" s="52"/>
    </row>
    <row r="1799" spans="7:7">
      <c r="G1799" s="52"/>
    </row>
    <row r="1800" spans="7:7">
      <c r="G1800" s="52"/>
    </row>
    <row r="1801" spans="7:7">
      <c r="G1801" s="52"/>
    </row>
    <row r="1802" spans="7:7">
      <c r="G1802" s="52"/>
    </row>
    <row r="1803" spans="7:7">
      <c r="G1803" s="52"/>
    </row>
    <row r="1804" spans="7:7">
      <c r="G1804" s="52"/>
    </row>
    <row r="1805" spans="7:7">
      <c r="G1805" s="52"/>
    </row>
    <row r="1806" spans="7:7">
      <c r="G1806" s="52"/>
    </row>
    <row r="1807" spans="7:7">
      <c r="G1807" s="52"/>
    </row>
    <row r="1808" spans="7:7">
      <c r="G1808" s="52"/>
    </row>
    <row r="1809" spans="7:7">
      <c r="G1809" s="52"/>
    </row>
    <row r="1810" spans="7:7">
      <c r="G1810" s="52"/>
    </row>
    <row r="1811" spans="7:7">
      <c r="G1811" s="52"/>
    </row>
    <row r="1812" spans="7:7">
      <c r="G1812" s="52"/>
    </row>
    <row r="1813" spans="7:7">
      <c r="G1813" s="52"/>
    </row>
    <row r="1814" spans="7:7">
      <c r="G1814" s="52"/>
    </row>
    <row r="1815" spans="7:7">
      <c r="G1815" s="52"/>
    </row>
    <row r="1816" spans="7:7">
      <c r="G1816" s="52"/>
    </row>
    <row r="1817" spans="7:7">
      <c r="G1817" s="52"/>
    </row>
    <row r="1818" spans="7:7">
      <c r="G1818" s="52"/>
    </row>
    <row r="1819" spans="7:7">
      <c r="G1819" s="52"/>
    </row>
    <row r="1820" spans="7:7">
      <c r="G1820" s="52"/>
    </row>
    <row r="1821" spans="7:7">
      <c r="G1821" s="52"/>
    </row>
  </sheetData>
  <sheetProtection formatRows="0" insertColumns="0" insertRows="0" deleteColumns="0" deleteRows="0" selectLockedCells="1" autoFilter="0" pivotTables="0"/>
  <mergeCells count="2">
    <mergeCell ref="A2:G3"/>
    <mergeCell ref="K2:L3"/>
  </mergeCells>
  <phoneticPr fontId="7" type="noConversion"/>
  <conditionalFormatting sqref="J21">
    <cfRule type="expression" dxfId="6" priority="10">
      <formula>#REF!="No especificado"</formula>
    </cfRule>
  </conditionalFormatting>
  <conditionalFormatting sqref="G4">
    <cfRule type="containsText" dxfId="5" priority="4" operator="containsText" text="No especificado">
      <formula>NOT(ISERROR(SEARCH("No especificado",G4)))</formula>
    </cfRule>
  </conditionalFormatting>
  <conditionalFormatting sqref="G4:G12">
    <cfRule type="containsText" dxfId="4" priority="2" operator="containsText" text="NO ESPECIFICADO">
      <formula>NOT(ISERROR(SEARCH("NO ESPECIFICADO",G4)))</formula>
    </cfRule>
  </conditionalFormatting>
  <conditionalFormatting sqref="G4">
    <cfRule type="expression" dxfId="3" priority="12">
      <formula>#REF!&lt;&gt;""</formula>
    </cfRule>
  </conditionalFormatting>
  <conditionalFormatting sqref="L8">
    <cfRule type="containsText" dxfId="2" priority="1" operator="containsText" text="PRODUCTO NO ENCONTRADO">
      <formula>NOT(ISERROR(SEARCH("PRODUCTO NO ENCONTRADO",L8)))</formula>
    </cfRule>
  </conditionalFormatting>
  <dataValidations count="3">
    <dataValidation type="custom" allowBlank="1" showInputMessage="1" showErrorMessage="1" errorTitle="ERROR AL INGRESAR" error="El producto se esta agotando o esta agotado" sqref="L7" xr:uid="{5FC6C278-17AA-424A-919D-96E3640F8EC6}">
      <formula1>M8</formula1>
    </dataValidation>
    <dataValidation type="list" allowBlank="1" showInputMessage="1" showErrorMessage="1" sqref="L6" xr:uid="{23C4472E-60A6-482E-B222-99FC6E8CC086}">
      <formula1>ProductosListas</formula1>
    </dataValidation>
    <dataValidation type="list" allowBlank="1" showInputMessage="1" showErrorMessage="1" sqref="L4" xr:uid="{F53B1D2B-ADFD-4C39-9259-BDEB5286E9BC}">
      <formula1>listaEmpleados</formula1>
    </dataValidation>
  </dataValidations>
  <pageMargins left="0.7" right="0.7" top="0.75" bottom="0.75" header="0.3" footer="0.3"/>
  <pageSetup scale="69" orientation="landscape" r:id="rId1"/>
  <colBreaks count="1" manualBreakCount="1">
    <brk id="8" max="1048575" man="1"/>
  </colBreak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D4EB-7FFC-43E1-8960-68D3514621F9}">
  <sheetPr codeName="Hoja4"/>
  <dimension ref="A1:V9"/>
  <sheetViews>
    <sheetView showGridLines="0" zoomScaleNormal="100" workbookViewId="0">
      <selection activeCell="P20" sqref="P20"/>
    </sheetView>
  </sheetViews>
  <sheetFormatPr baseColWidth="10" defaultColWidth="4.77734375" defaultRowHeight="14.4"/>
  <cols>
    <col min="1" max="1" width="19.88671875" style="43" bestFit="1" customWidth="1"/>
    <col min="2" max="21" width="5.21875" style="43" bestFit="1" customWidth="1"/>
    <col min="22" max="22" width="16.5546875" bestFit="1" customWidth="1"/>
  </cols>
  <sheetData>
    <row r="1" spans="1:2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2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</row>
    <row r="3" spans="1:22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</row>
    <row r="4" spans="1:2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</row>
    <row r="6" spans="1:22">
      <c r="A6"/>
      <c r="B6" s="83" t="s">
        <v>29</v>
      </c>
      <c r="C6" s="83"/>
      <c r="D6" s="83"/>
      <c r="E6" s="83"/>
      <c r="F6" s="83"/>
      <c r="G6" s="83" t="s">
        <v>30</v>
      </c>
      <c r="H6" s="83"/>
      <c r="I6" s="83"/>
      <c r="J6" s="83"/>
      <c r="K6" s="83"/>
      <c r="L6" s="83" t="s">
        <v>31</v>
      </c>
      <c r="M6" s="83"/>
      <c r="N6" s="83"/>
      <c r="O6" s="83"/>
      <c r="P6" s="83"/>
      <c r="Q6" s="83" t="s">
        <v>32</v>
      </c>
      <c r="R6" s="83"/>
      <c r="S6" s="83"/>
      <c r="T6" s="83"/>
      <c r="U6" s="83"/>
    </row>
    <row r="7" spans="1:22">
      <c r="A7" s="41" t="s">
        <v>33</v>
      </c>
      <c r="B7" s="41" t="s">
        <v>27</v>
      </c>
      <c r="C7" s="41" t="s">
        <v>25</v>
      </c>
      <c r="D7" s="41" t="s">
        <v>25</v>
      </c>
      <c r="E7" s="41" t="s">
        <v>28</v>
      </c>
      <c r="F7" s="41" t="s">
        <v>26</v>
      </c>
      <c r="G7" s="41" t="s">
        <v>27</v>
      </c>
      <c r="H7" s="41" t="s">
        <v>25</v>
      </c>
      <c r="I7" s="41" t="s">
        <v>25</v>
      </c>
      <c r="J7" s="41" t="s">
        <v>28</v>
      </c>
      <c r="K7" s="41" t="s">
        <v>26</v>
      </c>
      <c r="L7" s="41" t="s">
        <v>27</v>
      </c>
      <c r="M7" s="41" t="s">
        <v>25</v>
      </c>
      <c r="N7" s="41" t="s">
        <v>25</v>
      </c>
      <c r="O7" s="41" t="s">
        <v>28</v>
      </c>
      <c r="P7" s="41" t="s">
        <v>26</v>
      </c>
      <c r="Q7" s="41" t="s">
        <v>27</v>
      </c>
      <c r="R7" s="41" t="s">
        <v>25</v>
      </c>
      <c r="S7" s="41" t="s">
        <v>25</v>
      </c>
      <c r="T7" s="41" t="s">
        <v>28</v>
      </c>
      <c r="U7" s="41" t="s">
        <v>26</v>
      </c>
      <c r="V7" s="41" t="s">
        <v>34</v>
      </c>
    </row>
    <row r="8" spans="1:22">
      <c r="A8" s="44" t="s">
        <v>36</v>
      </c>
      <c r="B8" s="42" t="b">
        <v>1</v>
      </c>
      <c r="C8" s="42" t="b">
        <v>0</v>
      </c>
      <c r="D8" s="42" t="b">
        <v>1</v>
      </c>
      <c r="E8" s="42" t="b">
        <v>0</v>
      </c>
      <c r="F8" s="42" t="b">
        <v>1</v>
      </c>
      <c r="G8" s="42" t="b">
        <v>0</v>
      </c>
      <c r="H8" s="42" t="b">
        <v>1</v>
      </c>
      <c r="I8" s="42" t="b">
        <v>0</v>
      </c>
      <c r="J8" s="42" t="b">
        <v>1</v>
      </c>
      <c r="K8" s="42" t="b">
        <v>0</v>
      </c>
      <c r="L8" s="42" t="b">
        <v>1</v>
      </c>
      <c r="M8" s="42" t="b">
        <v>0</v>
      </c>
      <c r="N8" s="42" t="b">
        <v>1</v>
      </c>
      <c r="O8" s="42" t="b">
        <v>0</v>
      </c>
      <c r="P8" s="42" t="b">
        <v>1</v>
      </c>
      <c r="Q8" s="42" t="b">
        <v>0</v>
      </c>
      <c r="R8" s="42" t="b">
        <v>1</v>
      </c>
      <c r="S8" s="42" t="b">
        <v>0</v>
      </c>
      <c r="T8" s="42" t="b">
        <v>1</v>
      </c>
      <c r="U8" s="42" t="b">
        <v>0</v>
      </c>
      <c r="V8" s="48" cm="1">
        <f t="array" ref="V8">(SUM(--(Tabla8[[#This Row],[Lu]:[Columna15]]=TRUE))/COUNTA(Tabla8[[#This Row],[Lu]:[Columna15]]))</f>
        <v>0.5</v>
      </c>
    </row>
    <row r="9" spans="1:22">
      <c r="A9" s="63" t="s">
        <v>39</v>
      </c>
      <c r="B9" s="64" t="b">
        <v>0</v>
      </c>
      <c r="C9" s="64" t="b">
        <v>1</v>
      </c>
      <c r="D9" s="64" t="b">
        <v>0</v>
      </c>
      <c r="E9" s="64" t="b">
        <v>1</v>
      </c>
      <c r="F9" s="64" t="b">
        <v>0</v>
      </c>
      <c r="G9" s="64" t="b">
        <v>1</v>
      </c>
      <c r="H9" s="64" t="b">
        <v>0</v>
      </c>
      <c r="I9" s="64" t="b">
        <v>1</v>
      </c>
      <c r="J9" s="64" t="b">
        <v>0</v>
      </c>
      <c r="K9" s="64" t="b">
        <v>1</v>
      </c>
      <c r="L9" s="64" t="b">
        <v>0</v>
      </c>
      <c r="M9" s="64" t="b">
        <v>1</v>
      </c>
      <c r="N9" s="64" t="b">
        <v>0</v>
      </c>
      <c r="O9" s="64" t="b">
        <v>1</v>
      </c>
      <c r="P9" s="64" t="b">
        <v>0</v>
      </c>
      <c r="Q9" s="64" t="b">
        <v>1</v>
      </c>
      <c r="R9" s="64" t="b">
        <v>0</v>
      </c>
      <c r="S9" s="64" t="b">
        <v>1</v>
      </c>
      <c r="T9" s="64" t="b">
        <v>0</v>
      </c>
      <c r="U9" s="64" t="b">
        <v>1</v>
      </c>
      <c r="V9" s="65" cm="1">
        <f t="array" ref="V9">(SUM(--(Tabla8[[#This Row],[Lu]:[Columna15]]=TRUE))/COUNTA(Tabla8[[#This Row],[Lu]:[Columna15]]))</f>
        <v>0.5</v>
      </c>
    </row>
  </sheetData>
  <sheetProtection formatCells="0" formatColumns="0" formatRows="0" insertColumns="0" insertRows="0" deleteColumns="0" deleteRows="0" selectLockedCells="1" autoFilter="0" pivotTables="0"/>
  <mergeCells count="4">
    <mergeCell ref="B6:F6"/>
    <mergeCell ref="G6:K6"/>
    <mergeCell ref="L6:P6"/>
    <mergeCell ref="Q6:U6"/>
  </mergeCells>
  <phoneticPr fontId="7" type="noConversion"/>
  <conditionalFormatting sqref="B8:U9">
    <cfRule type="containsText" dxfId="1" priority="1" operator="containsText" text="FALSO">
      <formula>NOT(ISERROR(SEARCH("FALSO",B8)))</formula>
    </cfRule>
    <cfRule type="containsText" dxfId="0" priority="11" operator="containsText" text="VERDADERO">
      <formula>NOT(ISERROR(SEARCH("VERDADERO",B8)))</formula>
    </cfRule>
  </conditionalFormatting>
  <conditionalFormatting sqref="V8:V9">
    <cfRule type="dataBar" priority="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{C4ED253B-661C-4E3B-80CC-F45E0C47548C}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4ED253B-661C-4E3B-80CC-F45E0C47548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theme="1"/>
              <x14:negativeFillColor rgb="FFFF0000"/>
              <x14:negativeBorderColor rgb="FFFF0000"/>
              <x14:axisColor rgb="FF000000"/>
            </x14:dataBar>
          </x14:cfRule>
          <xm:sqref>V8:V9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6025-18D8-48B1-856C-9703E69E03D8}">
  <sheetPr codeName="Hoja3"/>
  <dimension ref="A1:H15"/>
  <sheetViews>
    <sheetView showGridLines="0" zoomScaleNormal="100" workbookViewId="0">
      <selection activeCell="J10" sqref="J10"/>
    </sheetView>
  </sheetViews>
  <sheetFormatPr baseColWidth="10" defaultColWidth="15.77734375" defaultRowHeight="14.4" customHeight="1"/>
  <cols>
    <col min="1" max="1" width="11" bestFit="1" customWidth="1"/>
    <col min="2" max="2" width="11.21875" bestFit="1" customWidth="1"/>
    <col min="3" max="3" width="10" bestFit="1" customWidth="1"/>
    <col min="4" max="4" width="18.77734375" style="2" bestFit="1" customWidth="1"/>
    <col min="5" max="5" width="20.88671875" bestFit="1" customWidth="1"/>
    <col min="6" max="6" width="19.77734375" style="22" bestFit="1" customWidth="1"/>
    <col min="7" max="7" width="11.21875" bestFit="1" customWidth="1"/>
    <col min="8" max="8" width="15.33203125" bestFit="1" customWidth="1"/>
  </cols>
  <sheetData>
    <row r="1" spans="1:8" ht="14.4" customHeight="1">
      <c r="A1" s="85" t="s">
        <v>23</v>
      </c>
      <c r="B1" s="85"/>
      <c r="C1" s="85"/>
      <c r="D1" s="85"/>
      <c r="E1" s="85"/>
    </row>
    <row r="2" spans="1:8" ht="14.4" customHeight="1">
      <c r="A2" s="85"/>
      <c r="B2" s="85"/>
      <c r="C2" s="85"/>
      <c r="D2" s="85"/>
      <c r="E2" s="85"/>
      <c r="F2" s="27"/>
      <c r="G2" s="84" t="s">
        <v>7</v>
      </c>
      <c r="H2" s="84"/>
    </row>
    <row r="3" spans="1:8" ht="14.4" customHeight="1">
      <c r="A3" s="28" t="s">
        <v>1</v>
      </c>
      <c r="B3" s="28" t="s">
        <v>2</v>
      </c>
      <c r="C3" s="28" t="s">
        <v>13</v>
      </c>
      <c r="D3" s="40" t="s">
        <v>16</v>
      </c>
      <c r="E3" s="40" t="s">
        <v>17</v>
      </c>
      <c r="F3" s="32"/>
      <c r="G3" s="84"/>
      <c r="H3" s="84"/>
    </row>
    <row r="4" spans="1:8" s="3" customFormat="1" ht="14.4" customHeight="1">
      <c r="A4" s="45" t="s">
        <v>37</v>
      </c>
      <c r="B4" s="46">
        <v>200000</v>
      </c>
      <c r="C4" s="47">
        <f ca="1">NOW()</f>
        <v>45933.901207175928</v>
      </c>
      <c r="D4" s="45">
        <v>50</v>
      </c>
      <c r="E4" s="24">
        <f>IFERROR(SUMIF(tablaProducto[Producto],A4,tablaProducto[Cantidad inicial]) - SUMIF(Tabla10[Producto vendido],A4,Tabla10['# de ventas]),
"")</f>
        <v>0</v>
      </c>
      <c r="F4" s="33"/>
      <c r="G4" s="36" t="s">
        <v>1</v>
      </c>
      <c r="H4" s="37"/>
    </row>
    <row r="5" spans="1:8" s="3" customFormat="1" ht="14.4" customHeight="1">
      <c r="A5" s="45" t="s">
        <v>35</v>
      </c>
      <c r="B5" s="46">
        <v>7000000</v>
      </c>
      <c r="C5" s="47">
        <f ca="1">NOW()</f>
        <v>45933.901207175928</v>
      </c>
      <c r="D5" s="45">
        <v>10</v>
      </c>
      <c r="E5" s="24">
        <f>IFERROR(SUMIF(tablaProducto[Producto],A5,tablaProducto[Cantidad inicial]) - SUMIF(Tabla10[Producto vendido],A5,Tabla10['# de ventas]),
"")</f>
        <v>0</v>
      </c>
      <c r="F5" s="34"/>
      <c r="G5" s="36" t="s">
        <v>2</v>
      </c>
      <c r="H5" s="38"/>
    </row>
    <row r="6" spans="1:8" s="3" customFormat="1" ht="14.4" customHeight="1">
      <c r="A6" s="45" t="s">
        <v>38</v>
      </c>
      <c r="B6" s="46">
        <v>5000000</v>
      </c>
      <c r="C6" s="47">
        <f ca="1">NOW()</f>
        <v>45933.901207175928</v>
      </c>
      <c r="D6" s="45">
        <v>10</v>
      </c>
      <c r="E6" s="24">
        <f>IFERROR(SUMIF(tablaProducto[Producto],A6,tablaProducto[Cantidad inicial]) - SUMIF(Tabla10[Producto vendido],A6,Tabla10['# de ventas]),
"")</f>
        <v>0</v>
      </c>
      <c r="F6" s="34"/>
      <c r="G6" s="36" t="s">
        <v>13</v>
      </c>
      <c r="H6" s="39">
        <f ca="1">NOW()</f>
        <v>45933.901207175928</v>
      </c>
    </row>
    <row r="7" spans="1:8" ht="14.4" customHeight="1">
      <c r="A7" s="24" t="s">
        <v>18</v>
      </c>
      <c r="B7" s="25">
        <v>250000</v>
      </c>
      <c r="C7" s="26">
        <f ca="1">NOW()</f>
        <v>45933.901207175928</v>
      </c>
      <c r="D7" s="24">
        <v>100</v>
      </c>
      <c r="E7" s="24">
        <f>IFERROR(SUMIF(tablaProducto[Producto],A7,tablaProducto[Cantidad inicial]) - SUMIF(Tabla10[Producto vendido],A7,Tabla10['# de ventas]),
"")</f>
        <v>80</v>
      </c>
      <c r="G7" s="36" t="s">
        <v>12</v>
      </c>
      <c r="H7" s="37"/>
    </row>
    <row r="8" spans="1:8">
      <c r="A8" s="3"/>
      <c r="B8" s="3"/>
      <c r="C8" s="3"/>
      <c r="D8" s="3"/>
      <c r="E8" s="3"/>
      <c r="H8" s="103">
        <f>IFERROR(SUMIF(tablaProducto[Producto],H4,tablaProducto[Cantidad inicial]) - SUMIF(Tabla10[Producto vendido],H4,Tabla10['# de ventas]),
"")</f>
        <v>0</v>
      </c>
    </row>
    <row r="9" spans="1:8" ht="14.4" customHeight="1">
      <c r="A9" s="3"/>
      <c r="B9" s="3"/>
      <c r="C9" s="3"/>
      <c r="D9" s="3"/>
      <c r="E9" s="3"/>
    </row>
    <row r="13" spans="1:8" ht="14.4" customHeight="1">
      <c r="F13" s="35"/>
    </row>
    <row r="14" spans="1:8" ht="14.4" customHeight="1">
      <c r="G14" s="4"/>
    </row>
    <row r="15" spans="1:8" ht="14.4" customHeight="1">
      <c r="G15" s="4"/>
    </row>
  </sheetData>
  <mergeCells count="2">
    <mergeCell ref="G2:H3"/>
    <mergeCell ref="A1:E2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1A612-5505-4F70-95E7-7E030FB3598D}">
  <sheetPr codeName="Hoja2">
    <pageSetUpPr autoPageBreaks="0"/>
  </sheetPr>
  <dimension ref="A6:N23"/>
  <sheetViews>
    <sheetView showGridLines="0" tabSelected="1" zoomScaleNormal="100" zoomScaleSheetLayoutView="50" workbookViewId="0">
      <selection activeCell="K21" sqref="K21"/>
    </sheetView>
  </sheetViews>
  <sheetFormatPr baseColWidth="10" defaultRowHeight="14.4"/>
  <cols>
    <col min="1" max="1" width="3.77734375" customWidth="1"/>
    <col min="2" max="2" width="21.88671875" bestFit="1" customWidth="1"/>
    <col min="3" max="3" width="20.109375" bestFit="1" customWidth="1"/>
    <col min="4" max="4" width="20.33203125" bestFit="1" customWidth="1"/>
    <col min="5" max="5" width="5.88671875" customWidth="1"/>
    <col min="6" max="6" width="19.5546875" bestFit="1" customWidth="1"/>
    <col min="7" max="7" width="14.6640625" bestFit="1" customWidth="1"/>
    <col min="8" max="8" width="14.88671875" bestFit="1" customWidth="1"/>
    <col min="9" max="9" width="7.77734375" customWidth="1"/>
    <col min="10" max="10" width="4.6640625" customWidth="1"/>
    <col min="11" max="11" width="12.33203125" customWidth="1"/>
    <col min="12" max="12" width="21.109375" customWidth="1"/>
    <col min="14" max="14" width="20.33203125" customWidth="1"/>
  </cols>
  <sheetData>
    <row r="6" spans="2:4">
      <c r="B6" s="100" t="s">
        <v>41</v>
      </c>
      <c r="C6" s="100" t="s">
        <v>22</v>
      </c>
    </row>
    <row r="7" spans="2:4">
      <c r="B7" s="102" t="s">
        <v>35</v>
      </c>
      <c r="C7" s="101">
        <v>70000000</v>
      </c>
    </row>
    <row r="8" spans="2:4">
      <c r="B8" s="102" t="s">
        <v>38</v>
      </c>
      <c r="C8" s="101">
        <v>50000000</v>
      </c>
    </row>
    <row r="9" spans="2:4">
      <c r="B9" s="102" t="s">
        <v>18</v>
      </c>
      <c r="C9" s="101">
        <v>5000000</v>
      </c>
    </row>
    <row r="10" spans="2:4">
      <c r="B10" s="102" t="s">
        <v>37</v>
      </c>
      <c r="C10" s="101">
        <v>10000000</v>
      </c>
    </row>
    <row r="13" spans="2:4">
      <c r="B13" s="96" t="str">
        <f>"Mas ingresos : "&amp;_xlfn.XLOOKUP(MAX(C7:C10),C7:C10,B7:B10)</f>
        <v>Mas ingresos : Moto</v>
      </c>
      <c r="C13" s="96"/>
      <c r="D13" s="88">
        <f>MAX(C6:C10)</f>
        <v>70000000</v>
      </c>
    </row>
    <row r="14" spans="2:4">
      <c r="B14" s="96"/>
      <c r="C14" s="96"/>
      <c r="D14" s="89"/>
    </row>
    <row r="15" spans="2:4">
      <c r="B15" s="90" t="str">
        <f xml:space="preserve"> "Menos ingresos : " &amp; _xlfn.XLOOKUP(MIN(C7:C10),C7:C10,B7:B10)</f>
        <v>Menos ingresos : Mesa</v>
      </c>
      <c r="C15" s="90"/>
      <c r="D15" s="91">
        <f>MIN(C7:C10)</f>
        <v>5000000</v>
      </c>
    </row>
    <row r="16" spans="2:4">
      <c r="B16" s="90"/>
      <c r="C16" s="90"/>
      <c r="D16" s="92"/>
    </row>
    <row r="18" spans="1:14">
      <c r="B18" s="94" t="s">
        <v>43</v>
      </c>
      <c r="C18" s="94"/>
      <c r="D18" s="94"/>
      <c r="F18" s="68" t="s">
        <v>40</v>
      </c>
      <c r="G18" s="68" t="s">
        <v>44</v>
      </c>
      <c r="H18" s="68" t="s">
        <v>45</v>
      </c>
      <c r="M18" s="86" t="s">
        <v>46</v>
      </c>
      <c r="N18" s="86"/>
    </row>
    <row r="19" spans="1:14">
      <c r="B19" s="94"/>
      <c r="C19" s="94"/>
      <c r="D19" s="94"/>
      <c r="F19" s="97" t="s">
        <v>36</v>
      </c>
      <c r="G19" s="98">
        <v>42</v>
      </c>
      <c r="H19" s="99">
        <v>87000000</v>
      </c>
      <c r="M19" s="86"/>
      <c r="N19" s="86"/>
    </row>
    <row r="20" spans="1:14" ht="14.4" customHeight="1">
      <c r="B20" s="81"/>
      <c r="C20" s="81"/>
      <c r="D20" s="81"/>
      <c r="F20" s="97" t="s">
        <v>39</v>
      </c>
      <c r="G20" s="98">
        <v>48</v>
      </c>
      <c r="H20" s="99">
        <v>48000000</v>
      </c>
    </row>
    <row r="21" spans="1:14" ht="14.4" customHeight="1">
      <c r="B21" s="93" t="str">
        <f>_xlfn.XLOOKUP(MAX(H19:H20),H19:H20,F19:F20)</f>
        <v>Manuel Ramos Romero</v>
      </c>
      <c r="C21" s="93"/>
      <c r="D21" s="95">
        <f>MAX(H19:H20)</f>
        <v>87000000</v>
      </c>
      <c r="M21" s="87">
        <f>SUM(C7:C10)</f>
        <v>135000000</v>
      </c>
      <c r="N21" s="87"/>
    </row>
    <row r="22" spans="1:14" ht="14.4" customHeight="1">
      <c r="A22" t="s">
        <v>42</v>
      </c>
      <c r="B22" s="93"/>
      <c r="C22" s="93"/>
      <c r="D22" s="93"/>
      <c r="M22" s="87"/>
      <c r="N22" s="87"/>
    </row>
    <row r="23" spans="1:14" ht="14.4" customHeight="1">
      <c r="B23" s="81"/>
      <c r="C23" s="81"/>
      <c r="D23" s="81"/>
    </row>
  </sheetData>
  <mergeCells count="9">
    <mergeCell ref="M18:N19"/>
    <mergeCell ref="M21:N22"/>
    <mergeCell ref="D13:D14"/>
    <mergeCell ref="B15:C16"/>
    <mergeCell ref="D15:D16"/>
    <mergeCell ref="B21:C22"/>
    <mergeCell ref="B18:D19"/>
    <mergeCell ref="D21:D22"/>
    <mergeCell ref="B13:C14"/>
  </mergeCells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E87645E53143438A98A1FB62AAB2D7" ma:contentTypeVersion="6" ma:contentTypeDescription="Create a new document." ma:contentTypeScope="" ma:versionID="e0b1f94ad51fd3429f0794e8f734483d">
  <xsd:schema xmlns:xsd="http://www.w3.org/2001/XMLSchema" xmlns:xs="http://www.w3.org/2001/XMLSchema" xmlns:p="http://schemas.microsoft.com/office/2006/metadata/properties" xmlns:ns3="4f687f19-b414-4072-8003-d3fb2f953609" targetNamespace="http://schemas.microsoft.com/office/2006/metadata/properties" ma:root="true" ma:fieldsID="da863570df65412d0306a1cfc8a425af" ns3:_="">
    <xsd:import namespace="4f687f19-b414-4072-8003-d3fb2f953609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687f19-b414-4072-8003-d3fb2f953609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f687f19-b414-4072-8003-d3fb2f953609" xsi:nil="true"/>
  </documentManagement>
</p:properties>
</file>

<file path=customXml/item4.xml><?xml version="1.0" encoding="utf-8"?>
<scriptIds xmlns="http://schemas.microsoft.com/office/extensibility/maker/v1.0" id="script-ids-node-id">
  <scriptId id="ms-officescript%3A%2F%2Fonedrive_business_itemlink%2F016HTC6SYBLKCXLCGJMJEJ7CJDQSEU7GGB:ms-officescript%3A%2F%2Fonedrive_business_sharinglink%2Fu!aHR0cHM6Ly91bmlzaW1vbmVkdS1teS5zaGFyZXBvaW50LmNvbS86dTovZy9wZXJzb25hbC9tYW51ZWxfcmFtb3NfdW5pc2ltb25fZWR1X2NvL0VRRmFoWFdJeVdKSW40a2poSWxQbU1FQmxlSW5UX3JSbUhLc21QYnNXTWhUU3c"/>
  <scriptId xmlns="" id="ms-officescript%3A%2F%2Fonedrive_business_itemlink%2F016HTC6SZCAMMBLTDMDJH2UXOMAFGSUPV2:ms-officescript%3A%2F%2Fonedrive_business_sharinglink%2Fu!aHR0cHM6Ly91bmlzaW1vbmVkdS1teS5zaGFyZXBvaW50LmNvbS86dTovZy9wZXJzb25hbC9tYW51ZWxfcmFtb3NfdW5pc2ltb25fZWR1X2NvL0VTSURHQlhNYkJwUHFsM01BVTBxUHJvQnY0V3A0eWhCVUNYOTNzQ2dzbWFpMGc"/>
</scriptIds>
</file>

<file path=customXml/itemProps1.xml><?xml version="1.0" encoding="utf-8"?>
<ds:datastoreItem xmlns:ds="http://schemas.openxmlformats.org/officeDocument/2006/customXml" ds:itemID="{46FBF05F-295A-43C3-A8EB-BE5311C3B4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4D10E23-1593-4635-9029-6D4367D435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687f19-b414-4072-8003-d3fb2f9536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F83D6AD-CA88-43FF-B1FB-9EDB8756CF0E}">
  <ds:schemaRefs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4f687f19-b414-4072-8003-d3fb2f953609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5B4DA77A-FDA6-431B-A4B9-140DD39779B7}">
  <ds:schemaRefs>
    <ds:schemaRef ds:uri="http://schemas.microsoft.com/office/extensibility/maker/v1.0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Registro de ventas</vt:lpstr>
      <vt:lpstr>Asistencia de empleados</vt:lpstr>
      <vt:lpstr>Registro de productos</vt:lpstr>
      <vt:lpstr>Dashboard</vt:lpstr>
      <vt:lpstr>Agotado</vt:lpstr>
      <vt:lpstr>listaEmpleados</vt:lpstr>
      <vt:lpstr>precioMayorUltimo</vt:lpstr>
      <vt:lpstr>PrecioUnitario</vt:lpstr>
      <vt:lpstr>ProductosListas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Jose Ramos Romero</dc:creator>
  <cp:lastModifiedBy>Manuel Jose Ramos Romero</cp:lastModifiedBy>
  <cp:lastPrinted>2025-07-17T20:12:00Z</cp:lastPrinted>
  <dcterms:created xsi:type="dcterms:W3CDTF">2025-07-09T17:32:23Z</dcterms:created>
  <dcterms:modified xsi:type="dcterms:W3CDTF">2025-10-04T03:19:10Z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535a957-b352-4c2d-aa57-80f72177303d_Enabled">
    <vt:lpwstr>true</vt:lpwstr>
  </property>
  <property fmtid="{D5CDD505-2E9C-101B-9397-08002B2CF9AE}" pid="3" name="MSIP_Label_f535a957-b352-4c2d-aa57-80f72177303d_SetDate">
    <vt:lpwstr>2025-07-10T00:13:26Z</vt:lpwstr>
  </property>
  <property fmtid="{D5CDD505-2E9C-101B-9397-08002B2CF9AE}" pid="4" name="MSIP_Label_f535a957-b352-4c2d-aa57-80f72177303d_Method">
    <vt:lpwstr>Standard</vt:lpwstr>
  </property>
  <property fmtid="{D5CDD505-2E9C-101B-9397-08002B2CF9AE}" pid="5" name="MSIP_Label_f535a957-b352-4c2d-aa57-80f72177303d_Name">
    <vt:lpwstr>defa4170-0d19-0005-0004-bc88714345d2</vt:lpwstr>
  </property>
  <property fmtid="{D5CDD505-2E9C-101B-9397-08002B2CF9AE}" pid="6" name="MSIP_Label_f535a957-b352-4c2d-aa57-80f72177303d_SiteId">
    <vt:lpwstr>34303541-74ec-4d4a-8c5a-8049d2fd6ce6</vt:lpwstr>
  </property>
  <property fmtid="{D5CDD505-2E9C-101B-9397-08002B2CF9AE}" pid="7" name="MSIP_Label_f535a957-b352-4c2d-aa57-80f72177303d_ActionId">
    <vt:lpwstr>7421bdfa-a400-4f41-854e-3043e3d9ae50</vt:lpwstr>
  </property>
  <property fmtid="{D5CDD505-2E9C-101B-9397-08002B2CF9AE}" pid="8" name="MSIP_Label_f535a957-b352-4c2d-aa57-80f72177303d_ContentBits">
    <vt:lpwstr>0</vt:lpwstr>
  </property>
  <property fmtid="{D5CDD505-2E9C-101B-9397-08002B2CF9AE}" pid="9" name="MSIP_Label_f535a957-b352-4c2d-aa57-80f72177303d_Tag">
    <vt:lpwstr>10, 3, 0, 1</vt:lpwstr>
  </property>
  <property fmtid="{D5CDD505-2E9C-101B-9397-08002B2CF9AE}" pid="10" name="ContentTypeId">
    <vt:lpwstr>0x01010032E87645E53143438A98A1FB62AAB2D7</vt:lpwstr>
  </property>
</Properties>
</file>